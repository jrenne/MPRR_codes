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a75af95b1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430ae05de7fe4994"/>
    <x:sheet xmlns:r="http://schemas.openxmlformats.org/officeDocument/2006/relationships" name="Quarterly source" sheetId="2" r:id="R23890ca34f334f24"/>
    <x:sheet xmlns:r="http://schemas.openxmlformats.org/officeDocument/2006/relationships" name="Annual calibrated" sheetId="3" r:id="R146ea75bfa5a4d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"/>
    <x:numFmt numFmtId="201" formatCode="0.0%"/>
    <x:numFmt numFmtId="202" formatCode="yyyy-mm-dd"/>
    <x:numFmt numFmtId="203" formatCode="0.00"/>
    <x:numFmt numFmtId="204" formatCode="0"/>
    <x:numFmt numFmtId="205" formatCode="0.000000"/>
  </x:numFmts>
  <x:fonts count="1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b/>
      <x:sz val="15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1"/>
      <x:color rgb="FF0000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sz val="10"/>
      <x:color rgb="FF0000FF"/>
      <x:name val="Arial"/>
    </x:font>
    <x:font>
      <x:b/>
      <x:sz val="14"/>
      <x:color rgb="FFFFFFFF"/>
      <x:name val="Carlito"/>
    </x:font>
    <x:font>
      <x:b/>
      <x:sz val="9"/>
      <x:color rgb="FFFFFFFF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</x:fills>
  <x:borders count="12">
    <x:border/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  <x:border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201" fontId="4" fillId="0" borderId="0" xfId="0" applyNumberFormat="1" applyFont="1" applyFill="1" applyBorder="1" applyAlignment="1">
      <x:alignment horizontal="right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3" fillId="0" borderId="4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/>
    <x:xf numFmtId="200" fontId="4" fillId="0" borderId="5" xfId="0" applyNumberFormat="1" applyFont="1" applyFill="1" applyBorder="1" applyAlignment="1">
      <x:alignment horizontal="right"/>
    </x:xf>
    <x:xf numFmtId="201" fontId="4" fillId="0" borderId="5" xfId="0" applyNumberFormat="1" applyFont="1" applyFill="1" applyBorder="1" applyAlignment="1">
      <x:alignment horizontal="right"/>
    </x:xf>
    <x:xf numFmtId="0" fontId="3" fillId="0" borderId="7" xfId="0" applyNumberFormat="1" applyFont="1" applyFill="1" applyBorder="1"/>
    <x:xf numFmtId="200" fontId="0" fillId="0" borderId="8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/>
    <x:xf numFmtId="0" fontId="3" fillId="4" borderId="4" xfId="0" applyNumberFormat="1" applyFont="1" applyFill="1" applyBorder="1"/>
    <x:xf numFmtId="200" fontId="0" fillId="4" borderId="5" xfId="0" applyNumberFormat="1" applyFont="1" applyFill="1" applyBorder="1" applyAlignment="1">
      <x:alignment horizontal="right"/>
    </x:xf>
    <x:xf numFmtId="0" fontId="0" fillId="4" borderId="6" xfId="0" applyNumberFormat="1" applyFont="1" applyFill="1" applyBorder="1"/>
    <x:xf numFmtId="201" fontId="4" fillId="4" borderId="5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4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8" fillId="5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0" xfId="0" applyNumberFormat="1" applyFont="1" applyFill="1" applyBorder="1"/>
    <x:xf numFmtId="0" fontId="8" fillId="0" borderId="4" xfId="0" applyNumberFormat="1" applyFont="1" applyFill="1" applyBorder="1"/>
    <x:xf numFmtId="200" fontId="6" fillId="0" borderId="5" xfId="0" applyNumberFormat="1" applyFont="1" applyFill="1" applyBorder="1" applyAlignment="1">
      <x:alignment horizontal="right"/>
    </x:xf>
    <x:xf numFmtId="0" fontId="6" fillId="0" borderId="6" xfId="0" applyNumberFormat="1" applyFont="1" applyFill="1" applyBorder="1"/>
    <x:xf numFmtId="200" fontId="9" fillId="0" borderId="5" xfId="0" applyNumberFormat="1" applyFont="1" applyFill="1" applyBorder="1" applyAlignment="1">
      <x:alignment horizontal="right"/>
    </x:xf>
    <x:xf numFmtId="0" fontId="6" fillId="4" borderId="0" xfId="0" applyNumberFormat="1" applyFont="1" applyFill="1" applyBorder="1"/>
    <x:xf numFmtId="0" fontId="8" fillId="4" borderId="4" xfId="0" applyNumberFormat="1" applyFont="1" applyFill="1" applyBorder="1"/>
    <x:xf numFmtId="200" fontId="6" fillId="4" borderId="5" xfId="0" applyNumberFormat="1" applyFont="1" applyFill="1" applyBorder="1" applyAlignment="1">
      <x:alignment horizontal="right"/>
    </x:xf>
    <x:xf numFmtId="0" fontId="6" fillId="4" borderId="6" xfId="0" applyNumberFormat="1" applyFont="1" applyFill="1" applyBorder="1"/>
    <x:xf numFmtId="201" fontId="9" fillId="4" borderId="5" xfId="0" applyNumberFormat="1" applyFont="1" applyFill="1" applyBorder="1" applyAlignment="1">
      <x:alignment horizontal="right"/>
    </x:xf>
    <x:xf numFmtId="0" fontId="8" fillId="0" borderId="10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8" fillId="0" borderId="11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2" fillId="5" borderId="0" xfId="0" applyNumberFormat="1" applyFont="1" applyFill="1" applyBorder="1"/>
    <x:xf numFmtId="0" fontId="12" fillId="0" borderId="1" xfId="0" applyNumberFormat="1" applyFont="1" applyFill="1" applyBorder="1"/>
    <x:xf numFmtId="0" fontId="13" fillId="0" borderId="2" xfId="0" applyNumberFormat="1" applyFont="1" applyFill="1" applyBorder="1"/>
    <x:xf numFmtId="0" fontId="13" fillId="0" borderId="3" xfId="0" applyNumberFormat="1" applyFont="1" applyFill="1" applyBorder="1"/>
    <x:xf numFmtId="0" fontId="13" fillId="0" borderId="0" xfId="0" applyNumberFormat="1" applyFont="1" applyFill="1" applyBorder="1"/>
    <x:xf numFmtId="0" fontId="12" fillId="0" borderId="4" xfId="0" applyNumberFormat="1" applyFont="1" applyFill="1" applyBorder="1"/>
    <x:xf numFmtId="200" fontId="11" fillId="0" borderId="5" xfId="0" applyNumberFormat="1" applyFont="1" applyFill="1" applyBorder="1" applyAlignment="1">
      <x:alignment horizontal="right"/>
    </x:xf>
    <x:xf numFmtId="0" fontId="11" fillId="0" borderId="6" xfId="0" applyNumberFormat="1" applyFont="1" applyFill="1" applyBorder="1"/>
    <x:xf numFmtId="200" fontId="13" fillId="0" borderId="5" xfId="0" applyNumberFormat="1" applyFont="1" applyFill="1" applyBorder="1" applyAlignment="1">
      <x:alignment horizontal="right"/>
    </x:xf>
    <x:xf numFmtId="0" fontId="11" fillId="4" borderId="0" xfId="0" applyNumberFormat="1" applyFont="1" applyFill="1" applyBorder="1"/>
    <x:xf numFmtId="0" fontId="12" fillId="4" borderId="4" xfId="0" applyNumberFormat="1" applyFont="1" applyFill="1" applyBorder="1"/>
    <x:xf numFmtId="200" fontId="11" fillId="4" borderId="5" xfId="0" applyNumberFormat="1" applyFont="1" applyFill="1" applyBorder="1" applyAlignment="1">
      <x:alignment horizontal="right"/>
    </x:xf>
    <x:xf numFmtId="0" fontId="11" fillId="4" borderId="6" xfId="0" applyNumberFormat="1" applyFont="1" applyFill="1" applyBorder="1"/>
    <x:xf numFmtId="201" fontId="13" fillId="4" borderId="5" xfId="0" applyNumberFormat="1" applyFont="1" applyFill="1" applyBorder="1" applyAlignment="1">
      <x:alignment horizontal="right"/>
    </x:xf>
    <x:xf numFmtId="0" fontId="12" fillId="0" borderId="10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12" fillId="0" borderId="11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15" fillId="2" borderId="0" xfId="0" applyNumberFormat="1" applyFont="1" applyFill="1" applyBorder="1"/>
    <x:xf numFmtId="202" fontId="16" fillId="0" borderId="0" xfId="0" applyNumberFormat="1" applyFont="1" applyFill="1" applyBorder="1"/>
    <x:xf numFmtId="203" fontId="16" fillId="0" borderId="0" xfId="0" applyNumberFormat="1" applyFont="1" applyFill="1" applyBorder="1"/>
    <x:xf numFmtId="0" fontId="16" fillId="0" borderId="0" xfId="0" applyNumberFormat="1" applyFont="1" applyFill="1" applyBorder="1"/>
    <x:xf numFmtId="200" fontId="3" fillId="5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/>
    <x:xf numFmtId="200" fontId="6" fillId="0" borderId="0" xfId="0" applyNumberFormat="1" applyFont="1" applyFill="1" applyBorder="1"/>
    <x:xf numFmtId="205" fontId="6" fillId="0" borderId="0" xfId="0" applyNumberFormat="1" applyFont="1" applyFill="1" applyBorder="1"/>
    <x:xf numFmtId="0" fontId="15" fillId="2" borderId="0" xfId="0" applyNumberFormat="1" applyFont="1" applyFill="1" applyBorder="1" applyAlignment="1">
      <x:alignment wrapText="1"/>
    </x:xf>
    <x:xf numFmtId="204" fontId="16" fillId="0" borderId="0" xfId="0" applyNumberFormat="1" applyFont="1" applyFill="1" applyBorder="1"/>
    <x:xf numFmtId="200" fontId="16" fillId="0" borderId="0" xfId="0" applyNumberFormat="1" applyFont="1" applyFill="1" applyBorder="1"/>
    <x:xf numFmtId="205" fontId="1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c5d1741fa94e54" /><Relationship Type="http://schemas.openxmlformats.org/officeDocument/2006/relationships/theme" Target="/xl/theme/theme1.xml" Id="Reef7321bc85f47db" /><Relationship Type="http://schemas.openxmlformats.org/officeDocument/2006/relationships/sharedStrings" Target="/xl/sharedStrings.xml" Id="R7fd7c34359e340af" /><Relationship Type="http://schemas.openxmlformats.org/officeDocument/2006/relationships/worksheet" Target="/xl/worksheets/sheet1.xml" Id="R430ae05de7fe4994" /><Relationship Type="http://schemas.openxmlformats.org/officeDocument/2006/relationships/worksheet" Target="/xl/worksheets/sheet2.xml" Id="R23890ca34f334f24" /><Relationship Type="http://schemas.openxmlformats.org/officeDocument/2006/relationships/worksheet" Target="/xl/worksheets/sheet3.xml" Id="R146ea75bfa5a4d88" /></Relationships>
</file>

<file path=xl/tables/table1.xml><?xml version="1.0" encoding="utf-8"?>
<x:table xmlns:x="http://schemas.openxmlformats.org/spreadsheetml/2006/main" id="1" name="QuarterlySourceTable" displayName="QuarterlySourceTable" ref="A7:D167" headerRowCount="1" totalsRowCount="0" totalsRowShown="0">
  <x:tableColumns count="4">
    <x:tableColumn id="1" name="Observation date"/>
    <x:tableColumn id="2" name="Charge-off rate (%)"/>
    <x:tableColumn id="3" name="Series ID"/>
    <x:tableColumn id="4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CalibratedTable" displayName="AnnualCalibratedTable" ref="A7:H47" headerRowCount="1" totalsRowCount="0" totalsRowShown="0">
  <x:tableColumns count="8">
    <x:tableColumn id="1" name="Year"/>
    <x:tableColumn id="2" name="Annual charge-off rate (%)"/>
    <x:tableColumn id="3" name="Book sample"/>
    <x:tableColumn id="4" name="Normalized loss cycle"/>
    <x:tableColumn id="5" name="Expected loss (bp)"/>
    <x:tableColumn id="6" name="Physical default intensity (%)"/>
    <x:tableColumn id="7" name="Physical intensity (decimal)"/>
    <x:tableColumn id="8" name="Loss reconstruction error (b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00235835d54d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039865a62348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88" hidden="0" customWidth="1"/>
    <x:col min="3" max="3" width="12" hidden="0" customWidth="1"/>
    <x:col min="4" max="4" width="3" hidden="0" customWidth="1"/>
    <x:col min="5" max="5" width="18" hidden="0" customWidth="1"/>
    <x:col min="6" max="6" width="24" hidden="0" customWidth="1"/>
  </x:cols>
  <x:sheetData>
    <x:row r="1" ht="30" customHeight="1">
      <x:c r="A1" s="42" t="str">
        <x:v>Federal Reserve business-loan losses calibrated to the HQM corporate-bond universe</x:v>
      </x:c>
      <x:c r="B1" s="42"/>
      <x:c r="C1" s="42"/>
      <x:c r="D1" s="42"/>
      <x:c r="E1" s="42"/>
      <x:c r="F1" s="42"/>
    </x:row>
    <x:row r="2">
      <x:c r="A2" s="65"/>
      <x:c r="B2" s="65"/>
      <x:c r="C2" s="65"/>
      <x:c r="D2" s="65"/>
      <x:c r="E2" s="65"/>
      <x:c r="F2" s="65"/>
    </x:row>
    <x:row r="3" ht="42" customHeight="1">
      <x:c r="A3" s="66" t="str">
        <x:v>Purpose: retain the Federal Reserve quarterly loss series, derive annual observations, and rescale its time profile to an expected-loss level representative of AAA-A U.S. corporate bonds.</x:v>
      </x:c>
      <x:c r="B3" s="66"/>
      <x:c r="C3" s="66"/>
      <x:c r="D3" s="66"/>
      <x:c r="E3" s="66"/>
      <x:c r="F3" s="66"/>
    </x:row>
    <x:row r="4">
      <x:c r="A4" s="65"/>
      <x:c r="B4" s="65"/>
      <x:c r="C4" s="65"/>
      <x:c r="D4" s="65"/>
      <x:c r="E4" s="65"/>
      <x:c r="F4" s="65"/>
    </x:row>
    <x:row r="5">
      <x:c r="A5" s="67" t="str">
        <x:v>Calibration assumptions and outputs</x:v>
      </x:c>
      <x:c r="B5" s="67"/>
      <x:c r="C5" s="67"/>
      <x:c r="D5" s="65"/>
      <x:c r="E5" s="68" t="str">
        <x:v>Cell convention</x:v>
      </x:c>
      <x:c r="F5" s="68" t="str">
        <x:v>Meaning</x:v>
      </x:c>
    </x:row>
    <x:row r="6">
      <x:c r="A6" s="69" t="str">
        <x:v>Book sample</x:v>
      </x:c>
      <x:c r="B6" s="70" t="n">
        <x:v>1986</x:v>
      </x:c>
      <x:c r="C6" s="71" t="n">
        <x:v>2024</x:v>
      </x:c>
      <x:c r="D6" s="65"/>
      <x:c r="E6" s="72" t="str">
        <x:v>Blue font</x:v>
      </x:c>
      <x:c r="F6" s="65" t="str">
        <x:v>Assumption/input</x:v>
      </x:c>
    </x:row>
    <x:row r="7">
      <x:c r="A7" s="73" t="str">
        <x:v>Mean annual charge-off rate (%)</x:v>
      </x:c>
      <x:c r="B7" s="74" t="n">
        <x:f>AVERAGEIFS('Annual calibrated'!$B$8:$B$47,'Annual calibrated'!$A$8:$A$47,"&gt;="&amp;B6,'Annual calibrated'!$A$8:$A$47,"&lt;="&amp;C6)</x:f>
        <x:v>0.7465384615384614</x:v>
      </x:c>
      <x:c r="C7" s="75"/>
      <x:c r="D7" s="65"/>
      <x:c r="E7" s="65" t="str">
        <x:v>Black font</x:v>
      </x:c>
      <x:c r="F7" s="65" t="str">
        <x:v>Formula/output</x:v>
      </x:c>
    </x:row>
    <x:row r="8">
      <x:c r="A8" s="73" t="str">
        <x:v>AAA expected loss (bp, 7-10 years)</x:v>
      </x:c>
      <x:c r="B8" s="76" t="n">
        <x:v>0.61</x:v>
      </x:c>
      <x:c r="C8" s="75"/>
      <x:c r="D8" s="65"/>
      <x:c r="E8" s="77" t="str">
        <x:v>Green fill</x:v>
      </x:c>
      <x:c r="F8" s="77" t="str">
        <x:v>Key calibrated output</x:v>
      </x:c>
    </x:row>
    <x:row r="9">
      <x:c r="A9" s="73" t="str">
        <x:v>AA expected loss (bp, 7-10 years)</x:v>
      </x:c>
      <x:c r="B9" s="76" t="n">
        <x:v>2.7</x:v>
      </x:c>
      <x:c r="C9" s="75"/>
      <x:c r="D9" s="65"/>
      <x:c r="E9" s="65"/>
      <x:c r="F9" s="65"/>
    </x:row>
    <x:row r="10">
      <x:c r="A10" s="73" t="str">
        <x:v>A expected loss (bp, 7-10 years)</x:v>
      </x:c>
      <x:c r="B10" s="76" t="n">
        <x:v>7.32</x:v>
      </x:c>
      <x:c r="C10" s="75"/>
      <x:c r="D10" s="65"/>
      <x:c r="E10" s="65"/>
      <x:c r="F10" s="65"/>
    </x:row>
    <x:row r="11">
      <x:c r="A11" s="78" t="str">
        <x:v>Equal-weight HQM expected loss (bp)</x:v>
      </x:c>
      <x:c r="B11" s="79" t="n">
        <x:f>AVERAGE(B8:B10)</x:f>
        <x:v>3.5433333333333334</x:v>
      </x:c>
      <x:c r="C11" s="80"/>
      <x:c r="D11" s="65"/>
      <x:c r="E11" s="65"/>
      <x:c r="F11" s="65"/>
    </x:row>
    <x:row r="12">
      <x:c r="A12" s="78" t="str">
        <x:v>Recovery rate</x:v>
      </x:c>
      <x:c r="B12" s="81" t="n">
        <x:v>0.6</x:v>
      </x:c>
      <x:c r="C12" s="80"/>
      <x:c r="D12" s="65"/>
      <x:c r="E12" s="65"/>
      <x:c r="F12" s="65"/>
    </x:row>
    <x:row r="13">
      <x:c r="A13" s="78" t="str">
        <x:v>Mean physical default intensity (%)</x:v>
      </x:c>
      <x:c r="B13" s="79" t="n">
        <x:f>B11/100/(1-B12)</x:f>
        <x:v>0.08858333333333333</x:v>
      </x:c>
      <x:c r="C13" s="80"/>
      <x:c r="D13" s="65"/>
      <x:c r="E13" s="65"/>
      <x:c r="F13" s="65"/>
    </x:row>
    <x:row r="14">
      <x:c r="A14" s="78" t="str">
        <x:v>Default-intensity scaling factor</x:v>
      </x:c>
      <x:c r="B14" s="79" t="n">
        <x:f>B13/B7</x:f>
        <x:v>0.11865876695861242</x:v>
      </x:c>
      <x:c r="C14" s="80"/>
      <x:c r="D14" s="65"/>
      <x:c r="E14" s="65"/>
      <x:c r="F14" s="65"/>
    </x:row>
    <x:row r="15">
      <x:c r="A15" s="65"/>
      <x:c r="B15" s="65"/>
      <x:c r="C15" s="65"/>
      <x:c r="D15" s="65"/>
      <x:c r="E15" s="65"/>
      <x:c r="F15" s="65"/>
    </x:row>
    <x:row r="16">
      <x:c r="A16" s="67" t="str">
        <x:v>Sources and transformation</x:v>
      </x:c>
      <x:c r="B16" s="67"/>
      <x:c r="C16" s="67"/>
      <x:c r="D16" s="67"/>
      <x:c r="E16" s="67"/>
      <x:c r="F16" s="67"/>
    </x:row>
    <x:row r="17">
      <x:c r="A17" s="82" t="str">
        <x:v>Federal Reserve release</x:v>
      </x:c>
      <x:c r="B17" s="83" t="str">
        <x:v>https://www.federalreserve.gov/releases/chargeoff/</x:v>
      </x:c>
      <x:c r="C17" s="65"/>
      <x:c r="D17" s="65"/>
      <x:c r="E17" s="65"/>
      <x:c r="F17" s="65"/>
    </x:row>
    <x:row r="18">
      <x:c r="A18" s="84" t="str">
        <x:v>Series page (CORBLACBS)</x:v>
      </x:c>
      <x:c r="B18" s="85" t="str">
        <x:v>https://fred.stlouisfed.org/series/CORBLACBS</x:v>
      </x:c>
      <x:c r="C18" s="65"/>
      <x:c r="D18" s="65"/>
      <x:c r="E18" s="65"/>
      <x:c r="F18" s="65"/>
    </x:row>
    <x:row r="19">
      <x:c r="A19" s="84" t="str">
        <x:v>Expected-loss calibration</x:v>
      </x:c>
      <x:c r="B19" s="85" t="str">
        <x:v>https://www.bis.org/publ/qtrpdf/r_qt0312e.pdf</x:v>
      </x:c>
      <x:c r="C19" s="65"/>
      <x:c r="D19" s="65"/>
      <x:c r="E19" s="65"/>
      <x:c r="F19" s="65"/>
    </x:row>
    <x:row r="20">
      <x:c r="A20" s="84" t="str">
        <x:v>Annual aggregation</x:v>
      </x:c>
      <x:c r="B20" s="85" t="str">
        <x:v>Arithmetic mean of the four quarterly, seasonally adjusted, annualized net charge-off rates.</x:v>
      </x:c>
      <x:c r="C20" s="65"/>
      <x:c r="D20" s="65"/>
      <x:c r="E20" s="65"/>
      <x:c r="F20" s="65"/>
    </x:row>
    <x:row r="21">
      <x:c r="A21" s="84" t="str">
        <x:v>Expected-loss rescaling</x:v>
      </x:c>
      <x:c r="B21" s="85" t="str">
        <x:v>Annual charge-off rate divided by its 1986-2024 mean, then multiplied by the equal-weight AAA/AA/A expected-loss benchmark.</x:v>
      </x:c>
      <x:c r="C21" s="65"/>
      <x:c r="D21" s="65"/>
      <x:c r="E21" s="65"/>
      <x:c r="F21" s="65"/>
    </x:row>
    <x:row r="22">
      <x:c r="A22" s="84" t="str">
        <x:v>Default-intensity mapping</x:v>
      </x:c>
      <x:c r="B22" s="85" t="str">
        <x:v>Physical default intensity = calibrated expected loss / (1 - recovery rate).</x:v>
      </x:c>
      <x:c r="C22" s="65"/>
      <x:c r="D22" s="65"/>
      <x:c r="E22" s="65"/>
      <x:c r="F22" s="65"/>
    </x:row>
  </x:sheetData>
  <x:mergeCells>
    <x:mergeCell ref="A1:F1"/>
    <x:mergeCell ref="A3:F3"/>
    <x:mergeCell ref="A5:C5"/>
    <x:mergeCell ref="A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4" hidden="0" customWidth="1"/>
    <x:col min="4" max="4" width="66" hidden="0" customWidth="1"/>
  </x:cols>
  <x:sheetData>
    <x:row r="1">
      <x:c r="A1" s="86" t="str">
        <x:v>Quarterly source observations</x:v>
      </x:c>
      <x:c r="B1" s="86"/>
      <x:c r="C1" s="86"/>
      <x:c r="D1" s="86"/>
    </x:row>
    <x:row r="3">
      <x:c r="A3" s="5" t="str">
        <x:v>Federal Reserve Board: Charge-Off Rate on Business Loans, All Commercial Banks (CORBLACBS); quarterly, seasonally adjusted, annualized and net of recoveries.</x:v>
      </x:c>
      <x:c r="B3" s="5"/>
      <x:c r="C3" s="5"/>
      <x:c r="D3" s="5"/>
    </x:row>
    <x:row r="5">
      <x:c r="A5" s="8" t="str">
        <x:v>Source URL</x:v>
      </x:c>
      <x:c r="B5" t="str">
        <x:v>https://fred.stlouisfed.org/series/CORBLACBS</x:v>
      </x:c>
      <x:c r="C5"/>
      <x:c r="D5"/>
    </x:row>
    <x:row r="7">
      <x:c r="A7" s="91" t="str">
        <x:v>Observation date</x:v>
      </x:c>
      <x:c r="B7" s="91" t="str">
        <x:v>Charge-off rate (%)</x:v>
      </x:c>
      <x:c r="C7" s="91" t="str">
        <x:v>Series ID</x:v>
      </x:c>
      <x:c r="D7" s="91" t="str">
        <x:v>Source URL</x:v>
      </x:c>
    </x:row>
    <x:row r="8">
      <x:c r="A8" s="92" t="n">
        <x:v>31048</x:v>
      </x:c>
      <x:c r="B8" s="93" t="n">
        <x:v>1.28</x:v>
      </x:c>
      <x:c r="C8" s="94" t="str">
        <x:v>CORBLACBS</x:v>
      </x:c>
      <x:c r="D8" s="94" t="str">
        <x:v>https://fred.stlouisfed.org/series/CORBLACBS</x:v>
      </x:c>
    </x:row>
    <x:row r="9">
      <x:c r="A9" s="92" t="n">
        <x:v>31138</x:v>
      </x:c>
      <x:c r="B9" s="93" t="n">
        <x:v>1.2</x:v>
      </x:c>
      <x:c r="C9" s="94" t="str">
        <x:v>CORBLACBS</x:v>
      </x:c>
      <x:c r="D9" s="94" t="str">
        <x:v>https://fred.stlouisfed.org/series/CORBLACBS</x:v>
      </x:c>
    </x:row>
    <x:row r="10">
      <x:c r="A10" s="92" t="n">
        <x:v>31229</x:v>
      </x:c>
      <x:c r="B10" s="93" t="n">
        <x:v>1.42</x:v>
      </x:c>
      <x:c r="C10" s="94" t="str">
        <x:v>CORBLACBS</x:v>
      </x:c>
      <x:c r="D10" s="94" t="str">
        <x:v>https://fred.stlouisfed.org/series/CORBLACBS</x:v>
      </x:c>
    </x:row>
    <x:row r="11">
      <x:c r="A11" s="92" t="n">
        <x:v>31321</x:v>
      </x:c>
      <x:c r="B11" s="93" t="n">
        <x:v>1.45</x:v>
      </x:c>
      <x:c r="C11" s="94" t="str">
        <x:v>CORBLACBS</x:v>
      </x:c>
      <x:c r="D11" s="94" t="str">
        <x:v>https://fred.stlouisfed.org/series/CORBLACBS</x:v>
      </x:c>
    </x:row>
    <x:row r="12">
      <x:c r="A12" s="92" t="n">
        <x:v>31413</x:v>
      </x:c>
      <x:c r="B12" s="93" t="n">
        <x:v>1.46</x:v>
      </x:c>
      <x:c r="C12" s="94" t="str">
        <x:v>CORBLACBS</x:v>
      </x:c>
      <x:c r="D12" s="94" t="str">
        <x:v>https://fred.stlouisfed.org/series/CORBLACBS</x:v>
      </x:c>
    </x:row>
    <x:row r="13">
      <x:c r="A13" s="92" t="n">
        <x:v>31503</x:v>
      </x:c>
      <x:c r="B13" s="93" t="n">
        <x:v>1.47</x:v>
      </x:c>
      <x:c r="C13" s="94" t="str">
        <x:v>CORBLACBS</x:v>
      </x:c>
      <x:c r="D13" s="94" t="str">
        <x:v>https://fred.stlouisfed.org/series/CORBLACBS</x:v>
      </x:c>
    </x:row>
    <x:row r="14">
      <x:c r="A14" s="92" t="n">
        <x:v>31594</x:v>
      </x:c>
      <x:c r="B14" s="93" t="n">
        <x:v>1.56</x:v>
      </x:c>
      <x:c r="C14" s="94" t="str">
        <x:v>CORBLACBS</x:v>
      </x:c>
      <x:c r="D14" s="94" t="str">
        <x:v>https://fred.stlouisfed.org/series/CORBLACBS</x:v>
      </x:c>
    </x:row>
    <x:row r="15">
      <x:c r="A15" s="92" t="n">
        <x:v>31686</x:v>
      </x:c>
      <x:c r="B15" s="93" t="n">
        <x:v>1.48</x:v>
      </x:c>
      <x:c r="C15" s="94" t="str">
        <x:v>CORBLACBS</x:v>
      </x:c>
      <x:c r="D15" s="94" t="str">
        <x:v>https://fred.stlouisfed.org/series/CORBLACBS</x:v>
      </x:c>
    </x:row>
    <x:row r="16">
      <x:c r="A16" s="92" t="n">
        <x:v>31778</x:v>
      </x:c>
      <x:c r="B16" s="93" t="n">
        <x:v>1.27</x:v>
      </x:c>
      <x:c r="C16" s="94" t="str">
        <x:v>CORBLACBS</x:v>
      </x:c>
      <x:c r="D16" s="94" t="str">
        <x:v>https://fred.stlouisfed.org/series/CORBLACBS</x:v>
      </x:c>
    </x:row>
    <x:row r="17">
      <x:c r="A17" s="92" t="n">
        <x:v>31868</x:v>
      </x:c>
      <x:c r="B17" s="93" t="n">
        <x:v>1.2</x:v>
      </x:c>
      <x:c r="C17" s="94" t="str">
        <x:v>CORBLACBS</x:v>
      </x:c>
      <x:c r="D17" s="94" t="str">
        <x:v>https://fred.stlouisfed.org/series/CORBLACBS</x:v>
      </x:c>
    </x:row>
    <x:row r="18">
      <x:c r="A18" s="92" t="n">
        <x:v>31959</x:v>
      </x:c>
      <x:c r="B18" s="93" t="n">
        <x:v>1.11</x:v>
      </x:c>
      <x:c r="C18" s="94" t="str">
        <x:v>CORBLACBS</x:v>
      </x:c>
      <x:c r="D18" s="94" t="str">
        <x:v>https://fred.stlouisfed.org/series/CORBLACBS</x:v>
      </x:c>
    </x:row>
    <x:row r="19">
      <x:c r="A19" s="92" t="n">
        <x:v>32051</x:v>
      </x:c>
      <x:c r="B19" s="93" t="n">
        <x:v>1.15</x:v>
      </x:c>
      <x:c r="C19" s="94" t="str">
        <x:v>CORBLACBS</x:v>
      </x:c>
      <x:c r="D19" s="94" t="str">
        <x:v>https://fred.stlouisfed.org/series/CORBLACBS</x:v>
      </x:c>
    </x:row>
    <x:row r="20">
      <x:c r="A20" s="92" t="n">
        <x:v>32143</x:v>
      </x:c>
      <x:c r="B20" s="93" t="n">
        <x:v>1.18</x:v>
      </x:c>
      <x:c r="C20" s="94" t="str">
        <x:v>CORBLACBS</x:v>
      </x:c>
      <x:c r="D20" s="94" t="str">
        <x:v>https://fred.stlouisfed.org/series/CORBLACBS</x:v>
      </x:c>
    </x:row>
    <x:row r="21">
      <x:c r="A21" s="92" t="n">
        <x:v>32234</x:v>
      </x:c>
      <x:c r="B21" s="93" t="n">
        <x:v>1.35</x:v>
      </x:c>
      <x:c r="C21" s="94" t="str">
        <x:v>CORBLACBS</x:v>
      </x:c>
      <x:c r="D21" s="94" t="str">
        <x:v>https://fred.stlouisfed.org/series/CORBLACBS</x:v>
      </x:c>
    </x:row>
    <x:row r="22">
      <x:c r="A22" s="92" t="n">
        <x:v>32325</x:v>
      </x:c>
      <x:c r="B22" s="93" t="n">
        <x:v>1.04</x:v>
      </x:c>
      <x:c r="C22" s="94" t="str">
        <x:v>CORBLACBS</x:v>
      </x:c>
      <x:c r="D22" s="94" t="str">
        <x:v>https://fred.stlouisfed.org/series/CORBLACBS</x:v>
      </x:c>
    </x:row>
    <x:row r="23">
      <x:c r="A23" s="92" t="n">
        <x:v>32417</x:v>
      </x:c>
      <x:c r="B23" s="93" t="n">
        <x:v>0.94</x:v>
      </x:c>
      <x:c r="C23" s="94" t="str">
        <x:v>CORBLACBS</x:v>
      </x:c>
      <x:c r="D23" s="94" t="str">
        <x:v>https://fred.stlouisfed.org/series/CORBLACBS</x:v>
      </x:c>
    </x:row>
    <x:row r="24">
      <x:c r="A24" s="92" t="n">
        <x:v>32509</x:v>
      </x:c>
      <x:c r="B24" s="93" t="n">
        <x:v>0.92</x:v>
      </x:c>
      <x:c r="C24" s="94" t="str">
        <x:v>CORBLACBS</x:v>
      </x:c>
      <x:c r="D24" s="94" t="str">
        <x:v>https://fred.stlouisfed.org/series/CORBLACBS</x:v>
      </x:c>
    </x:row>
    <x:row r="25">
      <x:c r="A25" s="92" t="n">
        <x:v>32599</x:v>
      </x:c>
      <x:c r="B25" s="93" t="n">
        <x:v>0.89</x:v>
      </x:c>
      <x:c r="C25" s="94" t="str">
        <x:v>CORBLACBS</x:v>
      </x:c>
      <x:c r="D25" s="94" t="str">
        <x:v>https://fred.stlouisfed.org/series/CORBLACBS</x:v>
      </x:c>
    </x:row>
    <x:row r="26">
      <x:c r="A26" s="92" t="n">
        <x:v>32690</x:v>
      </x:c>
      <x:c r="B26" s="93" t="n">
        <x:v>0.91</x:v>
      </x:c>
      <x:c r="C26" s="94" t="str">
        <x:v>CORBLACBS</x:v>
      </x:c>
      <x:c r="D26" s="94" t="str">
        <x:v>https://fred.stlouisfed.org/series/CORBLACBS</x:v>
      </x:c>
    </x:row>
    <x:row r="27">
      <x:c r="A27" s="92" t="n">
        <x:v>32782</x:v>
      </x:c>
      <x:c r="B27" s="93" t="n">
        <x:v>1.41</x:v>
      </x:c>
      <x:c r="C27" s="94" t="str">
        <x:v>CORBLACBS</x:v>
      </x:c>
      <x:c r="D27" s="94" t="str">
        <x:v>https://fred.stlouisfed.org/series/CORBLACBS</x:v>
      </x:c>
    </x:row>
    <x:row r="28">
      <x:c r="A28" s="92" t="n">
        <x:v>32874</x:v>
      </x:c>
      <x:c r="B28" s="93" t="n">
        <x:v>1.41</x:v>
      </x:c>
      <x:c r="C28" s="94" t="str">
        <x:v>CORBLACBS</x:v>
      </x:c>
      <x:c r="D28" s="94" t="str">
        <x:v>https://fred.stlouisfed.org/series/CORBLACBS</x:v>
      </x:c>
    </x:row>
    <x:row r="29">
      <x:c r="A29" s="92" t="n">
        <x:v>32964</x:v>
      </x:c>
      <x:c r="B29" s="93" t="n">
        <x:v>1.43</x:v>
      </x:c>
      <x:c r="C29" s="94" t="str">
        <x:v>CORBLACBS</x:v>
      </x:c>
      <x:c r="D29" s="94" t="str">
        <x:v>https://fred.stlouisfed.org/series/CORBLACBS</x:v>
      </x:c>
    </x:row>
    <x:row r="30">
      <x:c r="A30" s="92" t="n">
        <x:v>33055</x:v>
      </x:c>
      <x:c r="B30" s="93" t="n">
        <x:v>1.28</x:v>
      </x:c>
      <x:c r="C30" s="94" t="str">
        <x:v>CORBLACBS</x:v>
      </x:c>
      <x:c r="D30" s="94" t="str">
        <x:v>https://fred.stlouisfed.org/series/CORBLACBS</x:v>
      </x:c>
    </x:row>
    <x:row r="31">
      <x:c r="A31" s="92" t="n">
        <x:v>33147</x:v>
      </x:c>
      <x:c r="B31" s="93" t="n">
        <x:v>1.3</x:v>
      </x:c>
      <x:c r="C31" s="94" t="str">
        <x:v>CORBLACBS</x:v>
      </x:c>
      <x:c r="D31" s="94" t="str">
        <x:v>https://fred.stlouisfed.org/series/CORBLACBS</x:v>
      </x:c>
    </x:row>
    <x:row r="32">
      <x:c r="A32" s="92" t="n">
        <x:v>33239</x:v>
      </x:c>
      <x:c r="B32" s="93" t="n">
        <x:v>1.48</x:v>
      </x:c>
      <x:c r="C32" s="94" t="str">
        <x:v>CORBLACBS</x:v>
      </x:c>
      <x:c r="D32" s="94" t="str">
        <x:v>https://fred.stlouisfed.org/series/CORBLACBS</x:v>
      </x:c>
    </x:row>
    <x:row r="33">
      <x:c r="A33" s="92" t="n">
        <x:v>33329</x:v>
      </x:c>
      <x:c r="B33" s="93" t="n">
        <x:v>1.86</x:v>
      </x:c>
      <x:c r="C33" s="94" t="str">
        <x:v>CORBLACBS</x:v>
      </x:c>
      <x:c r="D33" s="94" t="str">
        <x:v>https://fred.stlouisfed.org/series/CORBLACBS</x:v>
      </x:c>
    </x:row>
    <x:row r="34">
      <x:c r="A34" s="92" t="n">
        <x:v>33420</x:v>
      </x:c>
      <x:c r="B34" s="93" t="n">
        <x:v>1.97</x:v>
      </x:c>
      <x:c r="C34" s="94" t="str">
        <x:v>CORBLACBS</x:v>
      </x:c>
      <x:c r="D34" s="94" t="str">
        <x:v>https://fred.stlouisfed.org/series/CORBLACBS</x:v>
      </x:c>
    </x:row>
    <x:row r="35">
      <x:c r="A35" s="92" t="n">
        <x:v>33512</x:v>
      </x:c>
      <x:c r="B35" s="93" t="n">
        <x:v>1.83</x:v>
      </x:c>
      <x:c r="C35" s="94" t="str">
        <x:v>CORBLACBS</x:v>
      </x:c>
      <x:c r="D35" s="94" t="str">
        <x:v>https://fred.stlouisfed.org/series/CORBLACBS</x:v>
      </x:c>
    </x:row>
    <x:row r="36">
      <x:c r="A36" s="92" t="n">
        <x:v>33604</x:v>
      </x:c>
      <x:c r="B36" s="93" t="n">
        <x:v>1.95</x:v>
      </x:c>
      <x:c r="C36" s="94" t="str">
        <x:v>CORBLACBS</x:v>
      </x:c>
      <x:c r="D36" s="94" t="str">
        <x:v>https://fred.stlouisfed.org/series/CORBLACBS</x:v>
      </x:c>
    </x:row>
    <x:row r="37">
      <x:c r="A37" s="92" t="n">
        <x:v>33695</x:v>
      </x:c>
      <x:c r="B37" s="93" t="n">
        <x:v>1.32</x:v>
      </x:c>
      <x:c r="C37" s="94" t="str">
        <x:v>CORBLACBS</x:v>
      </x:c>
      <x:c r="D37" s="94" t="str">
        <x:v>https://fred.stlouisfed.org/series/CORBLACBS</x:v>
      </x:c>
    </x:row>
    <x:row r="38">
      <x:c r="A38" s="92" t="n">
        <x:v>33786</x:v>
      </x:c>
      <x:c r="B38" s="93" t="n">
        <x:v>1.43</x:v>
      </x:c>
      <x:c r="C38" s="94" t="str">
        <x:v>CORBLACBS</x:v>
      </x:c>
      <x:c r="D38" s="94" t="str">
        <x:v>https://fred.stlouisfed.org/series/CORBLACBS</x:v>
      </x:c>
    </x:row>
    <x:row r="39">
      <x:c r="A39" s="92" t="n">
        <x:v>33878</x:v>
      </x:c>
      <x:c r="B39" s="93" t="n">
        <x:v>1.03</x:v>
      </x:c>
      <x:c r="C39" s="94" t="str">
        <x:v>CORBLACBS</x:v>
      </x:c>
      <x:c r="D39" s="94" t="str">
        <x:v>https://fred.stlouisfed.org/series/CORBLACBS</x:v>
      </x:c>
    </x:row>
    <x:row r="40">
      <x:c r="A40" s="92" t="n">
        <x:v>33970</x:v>
      </x:c>
      <x:c r="B40" s="93" t="n">
        <x:v>0.94</x:v>
      </x:c>
      <x:c r="C40" s="94" t="str">
        <x:v>CORBLACBS</x:v>
      </x:c>
      <x:c r="D40" s="94" t="str">
        <x:v>https://fred.stlouisfed.org/series/CORBLACBS</x:v>
      </x:c>
    </x:row>
    <x:row r="41">
      <x:c r="A41" s="92" t="n">
        <x:v>34060</x:v>
      </x:c>
      <x:c r="B41" s="93" t="n">
        <x:v>0.85</x:v>
      </x:c>
      <x:c r="C41" s="94" t="str">
        <x:v>CORBLACBS</x:v>
      </x:c>
      <x:c r="D41" s="94" t="str">
        <x:v>https://fred.stlouisfed.org/series/CORBLACBS</x:v>
      </x:c>
    </x:row>
    <x:row r="42">
      <x:c r="A42" s="92" t="n">
        <x:v>34151</x:v>
      </x:c>
      <x:c r="B42" s="93" t="n">
        <x:v>0.68</x:v>
      </x:c>
      <x:c r="C42" s="94" t="str">
        <x:v>CORBLACBS</x:v>
      </x:c>
      <x:c r="D42" s="94" t="str">
        <x:v>https://fred.stlouisfed.org/series/CORBLACBS</x:v>
      </x:c>
    </x:row>
    <x:row r="43">
      <x:c r="A43" s="92" t="n">
        <x:v>34243</x:v>
      </x:c>
      <x:c r="B43" s="93" t="n">
        <x:v>0.56</x:v>
      </x:c>
      <x:c r="C43" s="94" t="str">
        <x:v>CORBLACBS</x:v>
      </x:c>
      <x:c r="D43" s="94" t="str">
        <x:v>https://fred.stlouisfed.org/series/CORBLACBS</x:v>
      </x:c>
    </x:row>
    <x:row r="44">
      <x:c r="A44" s="92" t="n">
        <x:v>34335</x:v>
      </x:c>
      <x:c r="B44" s="93" t="n">
        <x:v>0.3</x:v>
      </x:c>
      <x:c r="C44" s="94" t="str">
        <x:v>CORBLACBS</x:v>
      </x:c>
      <x:c r="D44" s="94" t="str">
        <x:v>https://fred.stlouisfed.org/series/CORBLACBS</x:v>
      </x:c>
    </x:row>
    <x:row r="45">
      <x:c r="A45" s="92" t="n">
        <x:v>34425</x:v>
      </x:c>
      <x:c r="B45" s="93" t="n">
        <x:v>0.31</x:v>
      </x:c>
      <x:c r="C45" s="94" t="str">
        <x:v>CORBLACBS</x:v>
      </x:c>
      <x:c r="D45" s="94" t="str">
        <x:v>https://fred.stlouisfed.org/series/CORBLACBS</x:v>
      </x:c>
    </x:row>
    <x:row r="46">
      <x:c r="A46" s="92" t="n">
        <x:v>34516</x:v>
      </x:c>
      <x:c r="B46" s="93" t="n">
        <x:v>0.19</x:v>
      </x:c>
      <x:c r="C46" s="94" t="str">
        <x:v>CORBLACBS</x:v>
      </x:c>
      <x:c r="D46" s="94" t="str">
        <x:v>https://fred.stlouisfed.org/series/CORBLACBS</x:v>
      </x:c>
    </x:row>
    <x:row r="47">
      <x:c r="A47" s="92" t="n">
        <x:v>34608</x:v>
      </x:c>
      <x:c r="B47" s="93" t="n">
        <x:v>0.24</x:v>
      </x:c>
      <x:c r="C47" s="94" t="str">
        <x:v>CORBLACBS</x:v>
      </x:c>
      <x:c r="D47" s="94" t="str">
        <x:v>https://fred.stlouisfed.org/series/CORBLACBS</x:v>
      </x:c>
    </x:row>
    <x:row r="48">
      <x:c r="A48" s="92" t="n">
        <x:v>34700</x:v>
      </x:c>
      <x:c r="B48" s="93" t="n">
        <x:v>0.17</x:v>
      </x:c>
      <x:c r="C48" s="94" t="str">
        <x:v>CORBLACBS</x:v>
      </x:c>
      <x:c r="D48" s="94" t="str">
        <x:v>https://fred.stlouisfed.org/series/CORBLACBS</x:v>
      </x:c>
    </x:row>
    <x:row r="49">
      <x:c r="A49" s="92" t="n">
        <x:v>34790</x:v>
      </x:c>
      <x:c r="B49" s="93" t="n">
        <x:v>0.12</x:v>
      </x:c>
      <x:c r="C49" s="94" t="str">
        <x:v>CORBLACBS</x:v>
      </x:c>
      <x:c r="D49" s="94" t="str">
        <x:v>https://fred.stlouisfed.org/series/CORBLACBS</x:v>
      </x:c>
    </x:row>
    <x:row r="50">
      <x:c r="A50" s="92" t="n">
        <x:v>34881</x:v>
      </x:c>
      <x:c r="B50" s="93" t="n">
        <x:v>0.33</x:v>
      </x:c>
      <x:c r="C50" s="94" t="str">
        <x:v>CORBLACBS</x:v>
      </x:c>
      <x:c r="D50" s="94" t="str">
        <x:v>https://fred.stlouisfed.org/series/CORBLACBS</x:v>
      </x:c>
    </x:row>
    <x:row r="51">
      <x:c r="A51" s="92" t="n">
        <x:v>34973</x:v>
      </x:c>
      <x:c r="B51" s="93" t="n">
        <x:v>0.27</x:v>
      </x:c>
      <x:c r="C51" s="94" t="str">
        <x:v>CORBLACBS</x:v>
      </x:c>
      <x:c r="D51" s="94" t="str">
        <x:v>https://fred.stlouisfed.org/series/CORBLACBS</x:v>
      </x:c>
    </x:row>
    <x:row r="52">
      <x:c r="A52" s="92" t="n">
        <x:v>35065</x:v>
      </x:c>
      <x:c r="B52" s="93" t="n">
        <x:v>0.31</x:v>
      </x:c>
      <x:c r="C52" s="94" t="str">
        <x:v>CORBLACBS</x:v>
      </x:c>
      <x:c r="D52" s="94" t="str">
        <x:v>https://fred.stlouisfed.org/series/CORBLACBS</x:v>
      </x:c>
    </x:row>
    <x:row r="53">
      <x:c r="A53" s="92" t="n">
        <x:v>35156</x:v>
      </x:c>
      <x:c r="B53" s="93" t="n">
        <x:v>0.28</x:v>
      </x:c>
      <x:c r="C53" s="94" t="str">
        <x:v>CORBLACBS</x:v>
      </x:c>
      <x:c r="D53" s="94" t="str">
        <x:v>https://fred.stlouisfed.org/series/CORBLACBS</x:v>
      </x:c>
    </x:row>
    <x:row r="54">
      <x:c r="A54" s="92" t="n">
        <x:v>35247</x:v>
      </x:c>
      <x:c r="B54" s="93" t="n">
        <x:v>0.23</x:v>
      </x:c>
      <x:c r="C54" s="94" t="str">
        <x:v>CORBLACBS</x:v>
      </x:c>
      <x:c r="D54" s="94" t="str">
        <x:v>https://fred.stlouisfed.org/series/CORBLACBS</x:v>
      </x:c>
    </x:row>
    <x:row r="55">
      <x:c r="A55" s="92" t="n">
        <x:v>35339</x:v>
      </x:c>
      <x:c r="B55" s="93" t="n">
        <x:v>0.2</x:v>
      </x:c>
      <x:c r="C55" s="94" t="str">
        <x:v>CORBLACBS</x:v>
      </x:c>
      <x:c r="D55" s="94" t="str">
        <x:v>https://fred.stlouisfed.org/series/CORBLACBS</x:v>
      </x:c>
    </x:row>
    <x:row r="56">
      <x:c r="A56" s="92" t="n">
        <x:v>35431</x:v>
      </x:c>
      <x:c r="B56" s="93" t="n">
        <x:v>0.21</x:v>
      </x:c>
      <x:c r="C56" s="94" t="str">
        <x:v>CORBLACBS</x:v>
      </x:c>
      <x:c r="D56" s="94" t="str">
        <x:v>https://fred.stlouisfed.org/series/CORBLACBS</x:v>
      </x:c>
    </x:row>
    <x:row r="57">
      <x:c r="A57" s="92" t="n">
        <x:v>35521</x:v>
      </x:c>
      <x:c r="B57" s="93" t="n">
        <x:v>0.23</x:v>
      </x:c>
      <x:c r="C57" s="94" t="str">
        <x:v>CORBLACBS</x:v>
      </x:c>
      <x:c r="D57" s="94" t="str">
        <x:v>https://fred.stlouisfed.org/series/CORBLACBS</x:v>
      </x:c>
    </x:row>
    <x:row r="58">
      <x:c r="A58" s="92" t="n">
        <x:v>35612</x:v>
      </x:c>
      <x:c r="B58" s="93" t="n">
        <x:v>0.35</x:v>
      </x:c>
      <x:c r="C58" s="94" t="str">
        <x:v>CORBLACBS</x:v>
      </x:c>
      <x:c r="D58" s="94" t="str">
        <x:v>https://fred.stlouisfed.org/series/CORBLACBS</x:v>
      </x:c>
    </x:row>
    <x:row r="59">
      <x:c r="A59" s="92" t="n">
        <x:v>35704</x:v>
      </x:c>
      <x:c r="B59" s="93" t="n">
        <x:v>0.27</x:v>
      </x:c>
      <x:c r="C59" s="94" t="str">
        <x:v>CORBLACBS</x:v>
      </x:c>
      <x:c r="D59" s="94" t="str">
        <x:v>https://fred.stlouisfed.org/series/CORBLACBS</x:v>
      </x:c>
    </x:row>
    <x:row r="60">
      <x:c r="A60" s="92" t="n">
        <x:v>35796</x:v>
      </x:c>
      <x:c r="B60" s="93" t="n">
        <x:v>0.34</x:v>
      </x:c>
      <x:c r="C60" s="94" t="str">
        <x:v>CORBLACBS</x:v>
      </x:c>
      <x:c r="D60" s="94" t="str">
        <x:v>https://fred.stlouisfed.org/series/CORBLACBS</x:v>
      </x:c>
    </x:row>
    <x:row r="61">
      <x:c r="A61" s="92" t="n">
        <x:v>35886</x:v>
      </x:c>
      <x:c r="B61" s="93" t="n">
        <x:v>0.35</x:v>
      </x:c>
      <x:c r="C61" s="94" t="str">
        <x:v>CORBLACBS</x:v>
      </x:c>
      <x:c r="D61" s="94" t="str">
        <x:v>https://fred.stlouisfed.org/series/CORBLACBS</x:v>
      </x:c>
    </x:row>
    <x:row r="62">
      <x:c r="A62" s="92" t="n">
        <x:v>35977</x:v>
      </x:c>
      <x:c r="B62" s="93" t="n">
        <x:v>0.41</x:v>
      </x:c>
      <x:c r="C62" s="94" t="str">
        <x:v>CORBLACBS</x:v>
      </x:c>
      <x:c r="D62" s="94" t="str">
        <x:v>https://fred.stlouisfed.org/series/CORBLACBS</x:v>
      </x:c>
    </x:row>
    <x:row r="63">
      <x:c r="A63" s="92" t="n">
        <x:v>36069</x:v>
      </x:c>
      <x:c r="B63" s="93" t="n">
        <x:v>0.44</x:v>
      </x:c>
      <x:c r="C63" s="94" t="str">
        <x:v>CORBLACBS</x:v>
      </x:c>
      <x:c r="D63" s="94" t="str">
        <x:v>https://fred.stlouisfed.org/series/CORBLACBS</x:v>
      </x:c>
    </x:row>
    <x:row r="64">
      <x:c r="A64" s="92" t="n">
        <x:v>36161</x:v>
      </x:c>
      <x:c r="B64" s="93" t="n">
        <x:v>0.51</x:v>
      </x:c>
      <x:c r="C64" s="94" t="str">
        <x:v>CORBLACBS</x:v>
      </x:c>
      <x:c r="D64" s="94" t="str">
        <x:v>https://fred.stlouisfed.org/series/CORBLACBS</x:v>
      </x:c>
    </x:row>
    <x:row r="65">
      <x:c r="A65" s="92" t="n">
        <x:v>36251</x:v>
      </x:c>
      <x:c r="B65" s="93" t="n">
        <x:v>0.54</x:v>
      </x:c>
      <x:c r="C65" s="94" t="str">
        <x:v>CORBLACBS</x:v>
      </x:c>
      <x:c r="D65" s="94" t="str">
        <x:v>https://fred.stlouisfed.org/series/CORBLACBS</x:v>
      </x:c>
    </x:row>
    <x:row r="66">
      <x:c r="A66" s="92" t="n">
        <x:v>36342</x:v>
      </x:c>
      <x:c r="B66" s="93" t="n">
        <x:v>0.56</x:v>
      </x:c>
      <x:c r="C66" s="94" t="str">
        <x:v>CORBLACBS</x:v>
      </x:c>
      <x:c r="D66" s="94" t="str">
        <x:v>https://fred.stlouisfed.org/series/CORBLACBS</x:v>
      </x:c>
    </x:row>
    <x:row r="67">
      <x:c r="A67" s="92" t="n">
        <x:v>36434</x:v>
      </x:c>
      <x:c r="B67" s="93" t="n">
        <x:v>0.57</x:v>
      </x:c>
      <x:c r="C67" s="94" t="str">
        <x:v>CORBLACBS</x:v>
      </x:c>
      <x:c r="D67" s="94" t="str">
        <x:v>https://fred.stlouisfed.org/series/CORBLACBS</x:v>
      </x:c>
    </x:row>
    <x:row r="68">
      <x:c r="A68" s="92" t="n">
        <x:v>36526</x:v>
      </x:c>
      <x:c r="B68" s="93" t="n">
        <x:v>0.61</x:v>
      </x:c>
      <x:c r="C68" s="94" t="str">
        <x:v>CORBLACBS</x:v>
      </x:c>
      <x:c r="D68" s="94" t="str">
        <x:v>https://fred.stlouisfed.org/series/CORBLACBS</x:v>
      </x:c>
    </x:row>
    <x:row r="69">
      <x:c r="A69" s="92" t="n">
        <x:v>36617</x:v>
      </x:c>
      <x:c r="B69" s="93" t="n">
        <x:v>0.7</x:v>
      </x:c>
      <x:c r="C69" s="94" t="str">
        <x:v>CORBLACBS</x:v>
      </x:c>
      <x:c r="D69" s="94" t="str">
        <x:v>https://fred.stlouisfed.org/series/CORBLACBS</x:v>
      </x:c>
    </x:row>
    <x:row r="70">
      <x:c r="A70" s="92" t="n">
        <x:v>36708</x:v>
      </x:c>
      <x:c r="B70" s="93" t="n">
        <x:v>0.74</x:v>
      </x:c>
      <x:c r="C70" s="94" t="str">
        <x:v>CORBLACBS</x:v>
      </x:c>
      <x:c r="D70" s="94" t="str">
        <x:v>https://fred.stlouisfed.org/series/CORBLACBS</x:v>
      </x:c>
    </x:row>
    <x:row r="71">
      <x:c r="A71" s="92" t="n">
        <x:v>36800</x:v>
      </x:c>
      <x:c r="B71" s="93" t="n">
        <x:v>0.92</x:v>
      </x:c>
      <x:c r="C71" s="94" t="str">
        <x:v>CORBLACBS</x:v>
      </x:c>
      <x:c r="D71" s="94" t="str">
        <x:v>https://fred.stlouisfed.org/series/CORBLACBS</x:v>
      </x:c>
    </x:row>
    <x:row r="72">
      <x:c r="A72" s="92" t="n">
        <x:v>36892</x:v>
      </x:c>
      <x:c r="B72" s="93" t="n">
        <x:v>1.06</x:v>
      </x:c>
      <x:c r="C72" s="94" t="str">
        <x:v>CORBLACBS</x:v>
      </x:c>
      <x:c r="D72" s="94" t="str">
        <x:v>https://fred.stlouisfed.org/series/CORBLACBS</x:v>
      </x:c>
    </x:row>
    <x:row r="73">
      <x:c r="A73" s="92" t="n">
        <x:v>36982</x:v>
      </x:c>
      <x:c r="B73" s="93" t="n">
        <x:v>1.24</x:v>
      </x:c>
      <x:c r="C73" s="94" t="str">
        <x:v>CORBLACBS</x:v>
      </x:c>
      <x:c r="D73" s="94" t="str">
        <x:v>https://fred.stlouisfed.org/series/CORBLACBS</x:v>
      </x:c>
    </x:row>
    <x:row r="74">
      <x:c r="A74" s="92" t="n">
        <x:v>37073</x:v>
      </x:c>
      <x:c r="B74" s="93" t="n">
        <x:v>1.43</x:v>
      </x:c>
      <x:c r="C74" s="94" t="str">
        <x:v>CORBLACBS</x:v>
      </x:c>
      <x:c r="D74" s="94" t="str">
        <x:v>https://fred.stlouisfed.org/series/CORBLACBS</x:v>
      </x:c>
    </x:row>
    <x:row r="75">
      <x:c r="A75" s="92" t="n">
        <x:v>37165</x:v>
      </x:c>
      <x:c r="B75" s="93" t="n">
        <x:v>1.78</x:v>
      </x:c>
      <x:c r="C75" s="94" t="str">
        <x:v>CORBLACBS</x:v>
      </x:c>
      <x:c r="D75" s="94" t="str">
        <x:v>https://fred.stlouisfed.org/series/CORBLACBS</x:v>
      </x:c>
    </x:row>
    <x:row r="76">
      <x:c r="A76" s="92" t="n">
        <x:v>37257</x:v>
      </x:c>
      <x:c r="B76" s="93" t="n">
        <x:v>1.74</x:v>
      </x:c>
      <x:c r="C76" s="94" t="str">
        <x:v>CORBLACBS</x:v>
      </x:c>
      <x:c r="D76" s="94" t="str">
        <x:v>https://fred.stlouisfed.org/series/CORBLACBS</x:v>
      </x:c>
    </x:row>
    <x:row r="77">
      <x:c r="A77" s="92" t="n">
        <x:v>37347</x:v>
      </x:c>
      <x:c r="B77" s="93" t="n">
        <x:v>1.89</x:v>
      </x:c>
      <x:c r="C77" s="94" t="str">
        <x:v>CORBLACBS</x:v>
      </x:c>
      <x:c r="D77" s="94" t="str">
        <x:v>https://fred.stlouisfed.org/series/CORBLACBS</x:v>
      </x:c>
    </x:row>
    <x:row r="78">
      <x:c r="A78" s="92" t="n">
        <x:v>37438</x:v>
      </x:c>
      <x:c r="B78" s="93" t="n">
        <x:v>2.24</x:v>
      </x:c>
      <x:c r="C78" s="94" t="str">
        <x:v>CORBLACBS</x:v>
      </x:c>
      <x:c r="D78" s="94" t="str">
        <x:v>https://fred.stlouisfed.org/series/CORBLACBS</x:v>
      </x:c>
    </x:row>
    <x:row r="79">
      <x:c r="A79" s="92" t="n">
        <x:v>37530</x:v>
      </x:c>
      <x:c r="B79" s="93" t="n">
        <x:v>1.32</x:v>
      </x:c>
      <x:c r="C79" s="94" t="str">
        <x:v>CORBLACBS</x:v>
      </x:c>
      <x:c r="D79" s="94" t="str">
        <x:v>https://fred.stlouisfed.org/series/CORBLACBS</x:v>
      </x:c>
    </x:row>
    <x:row r="80">
      <x:c r="A80" s="92" t="n">
        <x:v>37622</x:v>
      </x:c>
      <x:c r="B80" s="93" t="n">
        <x:v>1.65</x:v>
      </x:c>
      <x:c r="C80" s="94" t="str">
        <x:v>CORBLACBS</x:v>
      </x:c>
      <x:c r="D80" s="94" t="str">
        <x:v>https://fred.stlouisfed.org/series/CORBLACBS</x:v>
      </x:c>
    </x:row>
    <x:row r="81">
      <x:c r="A81" s="92" t="n">
        <x:v>37712</x:v>
      </x:c>
      <x:c r="B81" s="93" t="n">
        <x:v>1.41</x:v>
      </x:c>
      <x:c r="C81" s="94" t="str">
        <x:v>CORBLACBS</x:v>
      </x:c>
      <x:c r="D81" s="94" t="str">
        <x:v>https://fred.stlouisfed.org/series/CORBLACBS</x:v>
      </x:c>
    </x:row>
    <x:row r="82">
      <x:c r="A82" s="92" t="n">
        <x:v>37803</x:v>
      </x:c>
      <x:c r="B82" s="93" t="n">
        <x:v>1.29</x:v>
      </x:c>
      <x:c r="C82" s="94" t="str">
        <x:v>CORBLACBS</x:v>
      </x:c>
      <x:c r="D82" s="94" t="str">
        <x:v>https://fred.stlouisfed.org/series/CORBLACBS</x:v>
      </x:c>
    </x:row>
    <x:row r="83">
      <x:c r="A83" s="92" t="n">
        <x:v>37895</x:v>
      </x:c>
      <x:c r="B83" s="93" t="n">
        <x:v>0.83</x:v>
      </x:c>
      <x:c r="C83" s="94" t="str">
        <x:v>CORBLACBS</x:v>
      </x:c>
      <x:c r="D83" s="94" t="str">
        <x:v>https://fred.stlouisfed.org/series/CORBLACBS</x:v>
      </x:c>
    </x:row>
    <x:row r="84">
      <x:c r="A84" s="92" t="n">
        <x:v>37987</x:v>
      </x:c>
      <x:c r="B84" s="93" t="n">
        <x:v>0.8</x:v>
      </x:c>
      <x:c r="C84" s="94" t="str">
        <x:v>CORBLACBS</x:v>
      </x:c>
      <x:c r="D84" s="94" t="str">
        <x:v>https://fred.stlouisfed.org/series/CORBLACBS</x:v>
      </x:c>
    </x:row>
    <x:row r="85">
      <x:c r="A85" s="92" t="n">
        <x:v>38078</x:v>
      </x:c>
      <x:c r="B85" s="93" t="n">
        <x:v>0.58</x:v>
      </x:c>
      <x:c r="C85" s="94" t="str">
        <x:v>CORBLACBS</x:v>
      </x:c>
      <x:c r="D85" s="94" t="str">
        <x:v>https://fred.stlouisfed.org/series/CORBLACBS</x:v>
      </x:c>
    </x:row>
    <x:row r="86">
      <x:c r="A86" s="92" t="n">
        <x:v>38169</x:v>
      </x:c>
      <x:c r="B86" s="93" t="n">
        <x:v>0.45</x:v>
      </x:c>
      <x:c r="C86" s="94" t="str">
        <x:v>CORBLACBS</x:v>
      </x:c>
      <x:c r="D86" s="94" t="str">
        <x:v>https://fred.stlouisfed.org/series/CORBLACBS</x:v>
      </x:c>
    </x:row>
    <x:row r="87">
      <x:c r="A87" s="92" t="n">
        <x:v>38261</x:v>
      </x:c>
      <x:c r="B87" s="93" t="n">
        <x:v>0.39</x:v>
      </x:c>
      <x:c r="C87" s="94" t="str">
        <x:v>CORBLACBS</x:v>
      </x:c>
      <x:c r="D87" s="94" t="str">
        <x:v>https://fred.stlouisfed.org/series/CORBLACBS</x:v>
      </x:c>
    </x:row>
    <x:row r="88">
      <x:c r="A88" s="92" t="n">
        <x:v>38353</x:v>
      </x:c>
      <x:c r="B88" s="93" t="n">
        <x:v>0.26</x:v>
      </x:c>
      <x:c r="C88" s="94" t="str">
        <x:v>CORBLACBS</x:v>
      </x:c>
      <x:c r="D88" s="94" t="str">
        <x:v>https://fred.stlouisfed.org/series/CORBLACBS</x:v>
      </x:c>
    </x:row>
    <x:row r="89">
      <x:c r="A89" s="92" t="n">
        <x:v>38443</x:v>
      </x:c>
      <x:c r="B89" s="93" t="n">
        <x:v>0.24</x:v>
      </x:c>
      <x:c r="C89" s="94" t="str">
        <x:v>CORBLACBS</x:v>
      </x:c>
      <x:c r="D89" s="94" t="str">
        <x:v>https://fred.stlouisfed.org/series/CORBLACBS</x:v>
      </x:c>
    </x:row>
    <x:row r="90">
      <x:c r="A90" s="92" t="n">
        <x:v>38534</x:v>
      </x:c>
      <x:c r="B90" s="93" t="n">
        <x:v>0.21</x:v>
      </x:c>
      <x:c r="C90" s="94" t="str">
        <x:v>CORBLACBS</x:v>
      </x:c>
      <x:c r="D90" s="94" t="str">
        <x:v>https://fred.stlouisfed.org/series/CORBLACBS</x:v>
      </x:c>
    </x:row>
    <x:row r="91">
      <x:c r="A91" s="92" t="n">
        <x:v>38626</x:v>
      </x:c>
      <x:c r="B91" s="93" t="n">
        <x:v>0.31</x:v>
      </x:c>
      <x:c r="C91" s="94" t="str">
        <x:v>CORBLACBS</x:v>
      </x:c>
      <x:c r="D91" s="94" t="str">
        <x:v>https://fred.stlouisfed.org/series/CORBLACBS</x:v>
      </x:c>
    </x:row>
    <x:row r="92">
      <x:c r="A92" s="92" t="n">
        <x:v>38718</x:v>
      </x:c>
      <x:c r="B92" s="93" t="n">
        <x:v>0.21</x:v>
      </x:c>
      <x:c r="C92" s="94" t="str">
        <x:v>CORBLACBS</x:v>
      </x:c>
      <x:c r="D92" s="94" t="str">
        <x:v>https://fred.stlouisfed.org/series/CORBLACBS</x:v>
      </x:c>
    </x:row>
    <x:row r="93">
      <x:c r="A93" s="92" t="n">
        <x:v>38808</x:v>
      </x:c>
      <x:c r="B93" s="93" t="n">
        <x:v>0.27</x:v>
      </x:c>
      <x:c r="C93" s="94" t="str">
        <x:v>CORBLACBS</x:v>
      </x:c>
      <x:c r="D93" s="94" t="str">
        <x:v>https://fred.stlouisfed.org/series/CORBLACBS</x:v>
      </x:c>
    </x:row>
    <x:row r="94">
      <x:c r="A94" s="92" t="n">
        <x:v>38899</x:v>
      </x:c>
      <x:c r="B94" s="93" t="n">
        <x:v>0.3</x:v>
      </x:c>
      <x:c r="C94" s="94" t="str">
        <x:v>CORBLACBS</x:v>
      </x:c>
      <x:c r="D94" s="94" t="str">
        <x:v>https://fred.stlouisfed.org/series/CORBLACBS</x:v>
      </x:c>
    </x:row>
    <x:row r="95">
      <x:c r="A95" s="92" t="n">
        <x:v>38991</x:v>
      </x:c>
      <x:c r="B95" s="93" t="n">
        <x:v>0.34</x:v>
      </x:c>
      <x:c r="C95" s="94" t="str">
        <x:v>CORBLACBS</x:v>
      </x:c>
      <x:c r="D95" s="94" t="str">
        <x:v>https://fred.stlouisfed.org/series/CORBLACBS</x:v>
      </x:c>
    </x:row>
    <x:row r="96">
      <x:c r="A96" s="92" t="n">
        <x:v>39083</x:v>
      </x:c>
      <x:c r="B96" s="93" t="n">
        <x:v>0.37</x:v>
      </x:c>
      <x:c r="C96" s="94" t="str">
        <x:v>CORBLACBS</x:v>
      </x:c>
      <x:c r="D96" s="94" t="str">
        <x:v>https://fred.stlouisfed.org/series/CORBLACBS</x:v>
      </x:c>
    </x:row>
    <x:row r="97">
      <x:c r="A97" s="92" t="n">
        <x:v>39173</x:v>
      </x:c>
      <x:c r="B97" s="93" t="n">
        <x:v>0.42</x:v>
      </x:c>
      <x:c r="C97" s="94" t="str">
        <x:v>CORBLACBS</x:v>
      </x:c>
      <x:c r="D97" s="94" t="str">
        <x:v>https://fred.stlouisfed.org/series/CORBLACBS</x:v>
      </x:c>
    </x:row>
    <x:row r="98">
      <x:c r="A98" s="92" t="n">
        <x:v>39264</x:v>
      </x:c>
      <x:c r="B98" s="93" t="n">
        <x:v>0.46</x:v>
      </x:c>
      <x:c r="C98" s="94" t="str">
        <x:v>CORBLACBS</x:v>
      </x:c>
      <x:c r="D98" s="94" t="str">
        <x:v>https://fred.stlouisfed.org/series/CORBLACBS</x:v>
      </x:c>
    </x:row>
    <x:row r="99">
      <x:c r="A99" s="92" t="n">
        <x:v>39356</x:v>
      </x:c>
      <x:c r="B99" s="93" t="n">
        <x:v>0.65</x:v>
      </x:c>
      <x:c r="C99" s="94" t="str">
        <x:v>CORBLACBS</x:v>
      </x:c>
      <x:c r="D99" s="94" t="str">
        <x:v>https://fred.stlouisfed.org/series/CORBLACBS</x:v>
      </x:c>
    </x:row>
    <x:row r="100">
      <x:c r="A100" s="92" t="n">
        <x:v>39448</x:v>
      </x:c>
      <x:c r="B100" s="93" t="n">
        <x:v>0.71</x:v>
      </x:c>
      <x:c r="C100" s="94" t="str">
        <x:v>CORBLACBS</x:v>
      </x:c>
      <x:c r="D100" s="94" t="str">
        <x:v>https://fred.stlouisfed.org/series/CORBLACBS</x:v>
      </x:c>
    </x:row>
    <x:row r="101">
      <x:c r="A101" s="92" t="n">
        <x:v>39539</x:v>
      </x:c>
      <x:c r="B101" s="93" t="n">
        <x:v>0.84</x:v>
      </x:c>
      <x:c r="C101" s="94" t="str">
        <x:v>CORBLACBS</x:v>
      </x:c>
      <x:c r="D101" s="94" t="str">
        <x:v>https://fred.stlouisfed.org/series/CORBLACBS</x:v>
      </x:c>
    </x:row>
    <x:row r="102">
      <x:c r="A102" s="92" t="n">
        <x:v>39630</x:v>
      </x:c>
      <x:c r="B102" s="93" t="n">
        <x:v>1.03</x:v>
      </x:c>
      <x:c r="C102" s="94" t="str">
        <x:v>CORBLACBS</x:v>
      </x:c>
      <x:c r="D102" s="94" t="str">
        <x:v>https://fred.stlouisfed.org/series/CORBLACBS</x:v>
      </x:c>
    </x:row>
    <x:row r="103">
      <x:c r="A103" s="92" t="n">
        <x:v>39722</x:v>
      </x:c>
      <x:c r="B103" s="93" t="n">
        <x:v>1.27</x:v>
      </x:c>
      <x:c r="C103" s="94" t="str">
        <x:v>CORBLACBS</x:v>
      </x:c>
      <x:c r="D103" s="94" t="str">
        <x:v>https://fred.stlouisfed.org/series/CORBLACBS</x:v>
      </x:c>
    </x:row>
    <x:row r="104">
      <x:c r="A104" s="92" t="n">
        <x:v>39814</x:v>
      </x:c>
      <x:c r="B104" s="93" t="n">
        <x:v>1.94</x:v>
      </x:c>
      <x:c r="C104" s="94" t="str">
        <x:v>CORBLACBS</x:v>
      </x:c>
      <x:c r="D104" s="94" t="str">
        <x:v>https://fred.stlouisfed.org/series/CORBLACBS</x:v>
      </x:c>
    </x:row>
    <x:row r="105">
      <x:c r="A105" s="92" t="n">
        <x:v>39904</x:v>
      </x:c>
      <x:c r="B105" s="93" t="n">
        <x:v>2.43</x:v>
      </x:c>
      <x:c r="C105" s="94" t="str">
        <x:v>CORBLACBS</x:v>
      </x:c>
      <x:c r="D105" s="94" t="str">
        <x:v>https://fred.stlouisfed.org/series/CORBLACBS</x:v>
      </x:c>
    </x:row>
    <x:row r="106">
      <x:c r="A106" s="92" t="n">
        <x:v>39995</x:v>
      </x:c>
      <x:c r="B106" s="93" t="n">
        <x:v>2.57</x:v>
      </x:c>
      <x:c r="C106" s="94" t="str">
        <x:v>CORBLACBS</x:v>
      </x:c>
      <x:c r="D106" s="94" t="str">
        <x:v>https://fred.stlouisfed.org/series/CORBLACBS</x:v>
      </x:c>
    </x:row>
    <x:row r="107">
      <x:c r="A107" s="92" t="n">
        <x:v>40087</x:v>
      </x:c>
      <x:c r="B107" s="93" t="n">
        <x:v>2.27</x:v>
      </x:c>
      <x:c r="C107" s="94" t="str">
        <x:v>CORBLACBS</x:v>
      </x:c>
      <x:c r="D107" s="94" t="str">
        <x:v>https://fred.stlouisfed.org/series/CORBLACBS</x:v>
      </x:c>
    </x:row>
    <x:row r="108">
      <x:c r="A108" s="92" t="n">
        <x:v>40179</x:v>
      </x:c>
      <x:c r="B108" s="93" t="n">
        <x:v>2.1</x:v>
      </x:c>
      <x:c r="C108" s="94" t="str">
        <x:v>CORBLACBS</x:v>
      </x:c>
      <x:c r="D108" s="94" t="str">
        <x:v>https://fred.stlouisfed.org/series/CORBLACBS</x:v>
      </x:c>
    </x:row>
    <x:row r="109">
      <x:c r="A109" s="92" t="n">
        <x:v>40269</x:v>
      </x:c>
      <x:c r="B109" s="93" t="n">
        <x:v>1.85</x:v>
      </x:c>
      <x:c r="C109" s="94" t="str">
        <x:v>CORBLACBS</x:v>
      </x:c>
      <x:c r="D109" s="94" t="str">
        <x:v>https://fred.stlouisfed.org/series/CORBLACBS</x:v>
      </x:c>
    </x:row>
    <x:row r="110">
      <x:c r="A110" s="92" t="n">
        <x:v>40360</x:v>
      </x:c>
      <x:c r="B110" s="93" t="n">
        <x:v>1.71</x:v>
      </x:c>
      <x:c r="C110" s="94" t="str">
        <x:v>CORBLACBS</x:v>
      </x:c>
      <x:c r="D110" s="94" t="str">
        <x:v>https://fred.stlouisfed.org/series/CORBLACBS</x:v>
      </x:c>
    </x:row>
    <x:row r="111">
      <x:c r="A111" s="92" t="n">
        <x:v>40452</x:v>
      </x:c>
      <x:c r="B111" s="93" t="n">
        <x:v>1.29</x:v>
      </x:c>
      <x:c r="C111" s="94" t="str">
        <x:v>CORBLACBS</x:v>
      </x:c>
      <x:c r="D111" s="94" t="str">
        <x:v>https://fred.stlouisfed.org/series/CORBLACBS</x:v>
      </x:c>
    </x:row>
    <x:row r="112">
      <x:c r="A112" s="92" t="n">
        <x:v>40544</x:v>
      </x:c>
      <x:c r="B112" s="93" t="n">
        <x:v>1.17</x:v>
      </x:c>
      <x:c r="C112" s="94" t="str">
        <x:v>CORBLACBS</x:v>
      </x:c>
      <x:c r="D112" s="94" t="str">
        <x:v>https://fred.stlouisfed.org/series/CORBLACBS</x:v>
      </x:c>
    </x:row>
    <x:row r="113">
      <x:c r="A113" s="92" t="n">
        <x:v>40634</x:v>
      </x:c>
      <x:c r="B113" s="93" t="n">
        <x:v>0.87</x:v>
      </x:c>
      <x:c r="C113" s="94" t="str">
        <x:v>CORBLACBS</x:v>
      </x:c>
      <x:c r="D113" s="94" t="str">
        <x:v>https://fred.stlouisfed.org/series/CORBLACBS</x:v>
      </x:c>
    </x:row>
    <x:row r="114">
      <x:c r="A114" s="92" t="n">
        <x:v>40725</x:v>
      </x:c>
      <x:c r="B114" s="93" t="n">
        <x:v>0.74</x:v>
      </x:c>
      <x:c r="C114" s="94" t="str">
        <x:v>CORBLACBS</x:v>
      </x:c>
      <x:c r="D114" s="94" t="str">
        <x:v>https://fred.stlouisfed.org/series/CORBLACBS</x:v>
      </x:c>
    </x:row>
    <x:row r="115">
      <x:c r="A115" s="92" t="n">
        <x:v>40817</x:v>
      </x:c>
      <x:c r="B115" s="93" t="n">
        <x:v>0.68</x:v>
      </x:c>
      <x:c r="C115" s="94" t="str">
        <x:v>CORBLACBS</x:v>
      </x:c>
      <x:c r="D115" s="94" t="str">
        <x:v>https://fred.stlouisfed.org/series/CORBLACBS</x:v>
      </x:c>
    </x:row>
    <x:row r="116">
      <x:c r="A116" s="92" t="n">
        <x:v>40909</x:v>
      </x:c>
      <x:c r="B116" s="93" t="n">
        <x:v>0.57</x:v>
      </x:c>
      <x:c r="C116" s="94" t="str">
        <x:v>CORBLACBS</x:v>
      </x:c>
      <x:c r="D116" s="94" t="str">
        <x:v>https://fred.stlouisfed.org/series/CORBLACBS</x:v>
      </x:c>
    </x:row>
    <x:row r="117">
      <x:c r="A117" s="92" t="n">
        <x:v>41000</x:v>
      </x:c>
      <x:c r="B117" s="93" t="n">
        <x:v>0.55</x:v>
      </x:c>
      <x:c r="C117" s="94" t="str">
        <x:v>CORBLACBS</x:v>
      </x:c>
      <x:c r="D117" s="94" t="str">
        <x:v>https://fred.stlouisfed.org/series/CORBLACBS</x:v>
      </x:c>
    </x:row>
    <x:row r="118">
      <x:c r="A118" s="92" t="n">
        <x:v>41091</x:v>
      </x:c>
      <x:c r="B118" s="93" t="n">
        <x:v>0.48</x:v>
      </x:c>
      <x:c r="C118" s="94" t="str">
        <x:v>CORBLACBS</x:v>
      </x:c>
      <x:c r="D118" s="94" t="str">
        <x:v>https://fred.stlouisfed.org/series/CORBLACBS</x:v>
      </x:c>
    </x:row>
    <x:row r="119">
      <x:c r="A119" s="92" t="n">
        <x:v>41183</x:v>
      </x:c>
      <x:c r="B119" s="93" t="n">
        <x:v>0.35</x:v>
      </x:c>
      <x:c r="C119" s="94" t="str">
        <x:v>CORBLACBS</x:v>
      </x:c>
      <x:c r="D119" s="94" t="str">
        <x:v>https://fred.stlouisfed.org/series/CORBLACBS</x:v>
      </x:c>
    </x:row>
    <x:row r="120">
      <x:c r="A120" s="92" t="n">
        <x:v>41275</x:v>
      </x:c>
      <x:c r="B120" s="93" t="n">
        <x:v>0.36</x:v>
      </x:c>
      <x:c r="C120" s="94" t="str">
        <x:v>CORBLACBS</x:v>
      </x:c>
      <x:c r="D120" s="94" t="str">
        <x:v>https://fred.stlouisfed.org/series/CORBLACBS</x:v>
      </x:c>
    </x:row>
    <x:row r="121">
      <x:c r="A121" s="92" t="n">
        <x:v>41365</x:v>
      </x:c>
      <x:c r="B121" s="93" t="n">
        <x:v>0.31</x:v>
      </x:c>
      <x:c r="C121" s="94" t="str">
        <x:v>CORBLACBS</x:v>
      </x:c>
      <x:c r="D121" s="94" t="str">
        <x:v>https://fred.stlouisfed.org/series/CORBLACBS</x:v>
      </x:c>
    </x:row>
    <x:row r="122">
      <x:c r="A122" s="92" t="n">
        <x:v>41456</x:v>
      </x:c>
      <x:c r="B122" s="93" t="n">
        <x:v>0.27</x:v>
      </x:c>
      <x:c r="C122" s="94" t="str">
        <x:v>CORBLACBS</x:v>
      </x:c>
      <x:c r="D122" s="94" t="str">
        <x:v>https://fred.stlouisfed.org/series/CORBLACBS</x:v>
      </x:c>
    </x:row>
    <x:row r="123">
      <x:c r="A123" s="92" t="n">
        <x:v>41548</x:v>
      </x:c>
      <x:c r="B123" s="93" t="n">
        <x:v>0.25</x:v>
      </x:c>
      <x:c r="C123" s="94" t="str">
        <x:v>CORBLACBS</x:v>
      </x:c>
      <x:c r="D123" s="94" t="str">
        <x:v>https://fred.stlouisfed.org/series/CORBLACBS</x:v>
      </x:c>
    </x:row>
    <x:row r="124">
      <x:c r="A124" s="92" t="n">
        <x:v>41640</x:v>
      </x:c>
      <x:c r="B124" s="93" t="n">
        <x:v>0.23</x:v>
      </x:c>
      <x:c r="C124" s="94" t="str">
        <x:v>CORBLACBS</x:v>
      </x:c>
      <x:c r="D124" s="94" t="str">
        <x:v>https://fred.stlouisfed.org/series/CORBLACBS</x:v>
      </x:c>
    </x:row>
    <x:row r="125">
      <x:c r="A125" s="92" t="n">
        <x:v>41730</x:v>
      </x:c>
      <x:c r="B125" s="93" t="n">
        <x:v>0.21</x:v>
      </x:c>
      <x:c r="C125" s="94" t="str">
        <x:v>CORBLACBS</x:v>
      </x:c>
      <x:c r="D125" s="94" t="str">
        <x:v>https://fred.stlouisfed.org/series/CORBLACBS</x:v>
      </x:c>
    </x:row>
    <x:row r="126">
      <x:c r="A126" s="92" t="n">
        <x:v>41821</x:v>
      </x:c>
      <x:c r="B126" s="93" t="n">
        <x:v>0.2</x:v>
      </x:c>
      <x:c r="C126" s="94" t="str">
        <x:v>CORBLACBS</x:v>
      </x:c>
      <x:c r="D126" s="94" t="str">
        <x:v>https://fred.stlouisfed.org/series/CORBLACBS</x:v>
      </x:c>
    </x:row>
    <x:row r="127">
      <x:c r="A127" s="92" t="n">
        <x:v>41913</x:v>
      </x:c>
      <x:c r="B127" s="93" t="n">
        <x:v>0.22</x:v>
      </x:c>
      <x:c r="C127" s="94" t="str">
        <x:v>CORBLACBS</x:v>
      </x:c>
      <x:c r="D127" s="94" t="str">
        <x:v>https://fred.stlouisfed.org/series/CORBLACBS</x:v>
      </x:c>
    </x:row>
    <x:row r="128">
      <x:c r="A128" s="92" t="n">
        <x:v>42005</x:v>
      </x:c>
      <x:c r="B128" s="93" t="n">
        <x:v>0.17</x:v>
      </x:c>
      <x:c r="C128" s="94" t="str">
        <x:v>CORBLACBS</x:v>
      </x:c>
      <x:c r="D128" s="94" t="str">
        <x:v>https://fred.stlouisfed.org/series/CORBLACBS</x:v>
      </x:c>
    </x:row>
    <x:row r="129">
      <x:c r="A129" s="92" t="n">
        <x:v>42095</x:v>
      </x:c>
      <x:c r="B129" s="93" t="n">
        <x:v>0.21</x:v>
      </x:c>
      <x:c r="C129" s="94" t="str">
        <x:v>CORBLACBS</x:v>
      </x:c>
      <x:c r="D129" s="94" t="str">
        <x:v>https://fred.stlouisfed.org/series/CORBLACBS</x:v>
      </x:c>
    </x:row>
    <x:row r="130">
      <x:c r="A130" s="92" t="n">
        <x:v>42186</x:v>
      </x:c>
      <x:c r="B130" s="93" t="n">
        <x:v>0.25</x:v>
      </x:c>
      <x:c r="C130" s="94" t="str">
        <x:v>CORBLACBS</x:v>
      </x:c>
      <x:c r="D130" s="94" t="str">
        <x:v>https://fred.stlouisfed.org/series/CORBLACBS</x:v>
      </x:c>
    </x:row>
    <x:row r="131">
      <x:c r="A131" s="92" t="n">
        <x:v>42278</x:v>
      </x:c>
      <x:c r="B131" s="93" t="n">
        <x:v>0.31</x:v>
      </x:c>
      <x:c r="C131" s="94" t="str">
        <x:v>CORBLACBS</x:v>
      </x:c>
      <x:c r="D131" s="94" t="str">
        <x:v>https://fred.stlouisfed.org/series/CORBLACBS</x:v>
      </x:c>
    </x:row>
    <x:row r="132">
      <x:c r="A132" s="92" t="n">
        <x:v>42370</x:v>
      </x:c>
      <x:c r="B132" s="93" t="n">
        <x:v>0.44</x:v>
      </x:c>
      <x:c r="C132" s="94" t="str">
        <x:v>CORBLACBS</x:v>
      </x:c>
      <x:c r="D132" s="94" t="str">
        <x:v>https://fred.stlouisfed.org/series/CORBLACBS</x:v>
      </x:c>
    </x:row>
    <x:row r="133">
      <x:c r="A133" s="92" t="n">
        <x:v>42461</x:v>
      </x:c>
      <x:c r="B133" s="93" t="n">
        <x:v>0.44</x:v>
      </x:c>
      <x:c r="C133" s="94" t="str">
        <x:v>CORBLACBS</x:v>
      </x:c>
      <x:c r="D133" s="94" t="str">
        <x:v>https://fred.stlouisfed.org/series/CORBLACBS</x:v>
      </x:c>
    </x:row>
    <x:row r="134">
      <x:c r="A134" s="92" t="n">
        <x:v>42552</x:v>
      </x:c>
      <x:c r="B134" s="93" t="n">
        <x:v>0.45</x:v>
      </x:c>
      <x:c r="C134" s="94" t="str">
        <x:v>CORBLACBS</x:v>
      </x:c>
      <x:c r="D134" s="94" t="str">
        <x:v>https://fred.stlouisfed.org/series/CORBLACBS</x:v>
      </x:c>
    </x:row>
    <x:row r="135">
      <x:c r="A135" s="92" t="n">
        <x:v>42644</x:v>
      </x:c>
      <x:c r="B135" s="93" t="n">
        <x:v>0.41</x:v>
      </x:c>
      <x:c r="C135" s="94" t="str">
        <x:v>CORBLACBS</x:v>
      </x:c>
      <x:c r="D135" s="94" t="str">
        <x:v>https://fred.stlouisfed.org/series/CORBLACBS</x:v>
      </x:c>
    </x:row>
    <x:row r="136">
      <x:c r="A136" s="92" t="n">
        <x:v>42736</x:v>
      </x:c>
      <x:c r="B136" s="93" t="n">
        <x:v>0.34</x:v>
      </x:c>
      <x:c r="C136" s="94" t="str">
        <x:v>CORBLACBS</x:v>
      </x:c>
      <x:c r="D136" s="94" t="str">
        <x:v>https://fred.stlouisfed.org/series/CORBLACBS</x:v>
      </x:c>
    </x:row>
    <x:row r="137">
      <x:c r="A137" s="92" t="n">
        <x:v>42826</x:v>
      </x:c>
      <x:c r="B137" s="93" t="n">
        <x:v>0.37</x:v>
      </x:c>
      <x:c r="C137" s="94" t="str">
        <x:v>CORBLACBS</x:v>
      </x:c>
      <x:c r="D137" s="94" t="str">
        <x:v>https://fred.stlouisfed.org/series/CORBLACBS</x:v>
      </x:c>
    </x:row>
    <x:row r="138">
      <x:c r="A138" s="92" t="n">
        <x:v>42917</x:v>
      </x:c>
      <x:c r="B138" s="93" t="n">
        <x:v>0.34</x:v>
      </x:c>
      <x:c r="C138" s="94" t="str">
        <x:v>CORBLACBS</x:v>
      </x:c>
      <x:c r="D138" s="94" t="str">
        <x:v>https://fred.stlouisfed.org/series/CORBLACBS</x:v>
      </x:c>
    </x:row>
    <x:row r="139">
      <x:c r="A139" s="92" t="n">
        <x:v>43009</x:v>
      </x:c>
      <x:c r="B139" s="93" t="n">
        <x:v>0.36</x:v>
      </x:c>
      <x:c r="C139" s="94" t="str">
        <x:v>CORBLACBS</x:v>
      </x:c>
      <x:c r="D139" s="94" t="str">
        <x:v>https://fred.stlouisfed.org/series/CORBLACBS</x:v>
      </x:c>
    </x:row>
    <x:row r="140">
      <x:c r="A140" s="92" t="n">
        <x:v>43101</x:v>
      </x:c>
      <x:c r="B140" s="93" t="n">
        <x:v>0.3</x:v>
      </x:c>
      <x:c r="C140" s="94" t="str">
        <x:v>CORBLACBS</x:v>
      </x:c>
      <x:c r="D140" s="94" t="str">
        <x:v>https://fred.stlouisfed.org/series/CORBLACBS</x:v>
      </x:c>
    </x:row>
    <x:row r="141">
      <x:c r="A141" s="92" t="n">
        <x:v>43191</x:v>
      </x:c>
      <x:c r="B141" s="93" t="n">
        <x:v>0.27</x:v>
      </x:c>
      <x:c r="C141" s="94" t="str">
        <x:v>CORBLACBS</x:v>
      </x:c>
      <x:c r="D141" s="94" t="str">
        <x:v>https://fred.stlouisfed.org/series/CORBLACBS</x:v>
      </x:c>
    </x:row>
    <x:row r="142">
      <x:c r="A142" s="92" t="n">
        <x:v>43282</x:v>
      </x:c>
      <x:c r="B142" s="93" t="n">
        <x:v>0.26</x:v>
      </x:c>
      <x:c r="C142" s="94" t="str">
        <x:v>CORBLACBS</x:v>
      </x:c>
      <x:c r="D142" s="94" t="str">
        <x:v>https://fred.stlouisfed.org/series/CORBLACBS</x:v>
      </x:c>
    </x:row>
    <x:row r="143">
      <x:c r="A143" s="92" t="n">
        <x:v>43374</x:v>
      </x:c>
      <x:c r="B143" s="93" t="n">
        <x:v>0.27</x:v>
      </x:c>
      <x:c r="C143" s="94" t="str">
        <x:v>CORBLACBS</x:v>
      </x:c>
      <x:c r="D143" s="94" t="str">
        <x:v>https://fred.stlouisfed.org/series/CORBLACBS</x:v>
      </x:c>
    </x:row>
    <x:row r="144">
      <x:c r="A144" s="92" t="n">
        <x:v>43466</x:v>
      </x:c>
      <x:c r="B144" s="93" t="n">
        <x:v>0.3</x:v>
      </x:c>
      <x:c r="C144" s="94" t="str">
        <x:v>CORBLACBS</x:v>
      </x:c>
      <x:c r="D144" s="94" t="str">
        <x:v>https://fred.stlouisfed.org/series/CORBLACBS</x:v>
      </x:c>
    </x:row>
    <x:row r="145">
      <x:c r="A145" s="92" t="n">
        <x:v>43556</x:v>
      </x:c>
      <x:c r="B145" s="93" t="n">
        <x:v>0.31</x:v>
      </x:c>
      <x:c r="C145" s="94" t="str">
        <x:v>CORBLACBS</x:v>
      </x:c>
      <x:c r="D145" s="94" t="str">
        <x:v>https://fred.stlouisfed.org/series/CORBLACBS</x:v>
      </x:c>
    </x:row>
    <x:row r="146">
      <x:c r="A146" s="92" t="n">
        <x:v>43647</x:v>
      </x:c>
      <x:c r="B146" s="93" t="n">
        <x:v>0.44</x:v>
      </x:c>
      <x:c r="C146" s="94" t="str">
        <x:v>CORBLACBS</x:v>
      </x:c>
      <x:c r="D146" s="94" t="str">
        <x:v>https://fred.stlouisfed.org/series/CORBLACBS</x:v>
      </x:c>
    </x:row>
    <x:row r="147">
      <x:c r="A147" s="92" t="n">
        <x:v>43739</x:v>
      </x:c>
      <x:c r="B147" s="93" t="n">
        <x:v>0.36</x:v>
      </x:c>
      <x:c r="C147" s="94" t="str">
        <x:v>CORBLACBS</x:v>
      </x:c>
      <x:c r="D147" s="94" t="str">
        <x:v>https://fred.stlouisfed.org/series/CORBLACBS</x:v>
      </x:c>
    </x:row>
    <x:row r="148">
      <x:c r="A148" s="92" t="n">
        <x:v>43831</x:v>
      </x:c>
      <x:c r="B148" s="93" t="n">
        <x:v>0.56</x:v>
      </x:c>
      <x:c r="C148" s="94" t="str">
        <x:v>CORBLACBS</x:v>
      </x:c>
      <x:c r="D148" s="94" t="str">
        <x:v>https://fred.stlouisfed.org/series/CORBLACBS</x:v>
      </x:c>
    </x:row>
    <x:row r="149">
      <x:c r="A149" s="92" t="n">
        <x:v>43922</x:v>
      </x:c>
      <x:c r="B149" s="93" t="n">
        <x:v>0.59</x:v>
      </x:c>
      <x:c r="C149" s="94" t="str">
        <x:v>CORBLACBS</x:v>
      </x:c>
      <x:c r="D149" s="94" t="str">
        <x:v>https://fred.stlouisfed.org/series/CORBLACBS</x:v>
      </x:c>
    </x:row>
    <x:row r="150">
      <x:c r="A150" s="92" t="n">
        <x:v>44013</x:v>
      </x:c>
      <x:c r="B150" s="93" t="n">
        <x:v>0.51</x:v>
      </x:c>
      <x:c r="C150" s="94" t="str">
        <x:v>CORBLACBS</x:v>
      </x:c>
      <x:c r="D150" s="94" t="str">
        <x:v>https://fred.stlouisfed.org/series/CORBLACBS</x:v>
      </x:c>
    </x:row>
    <x:row r="151">
      <x:c r="A151" s="92" t="n">
        <x:v>44105</x:v>
      </x:c>
      <x:c r="B151" s="93" t="n">
        <x:v>0.41</x:v>
      </x:c>
      <x:c r="C151" s="94" t="str">
        <x:v>CORBLACBS</x:v>
      </x:c>
      <x:c r="D151" s="94" t="str">
        <x:v>https://fred.stlouisfed.org/series/CORBLACBS</x:v>
      </x:c>
    </x:row>
    <x:row r="152">
      <x:c r="A152" s="92" t="n">
        <x:v>44197</x:v>
      </x:c>
      <x:c r="B152" s="93" t="n">
        <x:v>0.29</x:v>
      </x:c>
      <x:c r="C152" s="94" t="str">
        <x:v>CORBLACBS</x:v>
      </x:c>
      <x:c r="D152" s="94" t="str">
        <x:v>https://fred.stlouisfed.org/series/CORBLACBS</x:v>
      </x:c>
    </x:row>
    <x:row r="153">
      <x:c r="A153" s="92" t="n">
        <x:v>44287</x:v>
      </x:c>
      <x:c r="B153" s="93" t="n">
        <x:v>0.21</x:v>
      </x:c>
      <x:c r="C153" s="94" t="str">
        <x:v>CORBLACBS</x:v>
      </x:c>
      <x:c r="D153" s="94" t="str">
        <x:v>https://fred.stlouisfed.org/series/CORBLACBS</x:v>
      </x:c>
    </x:row>
    <x:row r="154">
      <x:c r="A154" s="92" t="n">
        <x:v>44378</x:v>
      </x:c>
      <x:c r="B154" s="93" t="n">
        <x:v>0.16</x:v>
      </x:c>
      <x:c r="C154" s="94" t="str">
        <x:v>CORBLACBS</x:v>
      </x:c>
      <x:c r="D154" s="94" t="str">
        <x:v>https://fred.stlouisfed.org/series/CORBLACBS</x:v>
      </x:c>
    </x:row>
    <x:row r="155">
      <x:c r="A155" s="92" t="n">
        <x:v>44470</x:v>
      </x:c>
      <x:c r="B155" s="93" t="n">
        <x:v>0.12</x:v>
      </x:c>
      <x:c r="C155" s="94" t="str">
        <x:v>CORBLACBS</x:v>
      </x:c>
      <x:c r="D155" s="94" t="str">
        <x:v>https://fred.stlouisfed.org/series/CORBLACBS</x:v>
      </x:c>
    </x:row>
    <x:row r="156">
      <x:c r="A156" s="92" t="n">
        <x:v>44562</x:v>
      </x:c>
      <x:c r="B156" s="93" t="n">
        <x:v>0.12</x:v>
      </x:c>
      <x:c r="C156" s="94" t="str">
        <x:v>CORBLACBS</x:v>
      </x:c>
      <x:c r="D156" s="94" t="str">
        <x:v>https://fred.stlouisfed.org/series/CORBLACBS</x:v>
      </x:c>
    </x:row>
    <x:row r="157">
      <x:c r="A157" s="92" t="n">
        <x:v>44652</x:v>
      </x:c>
      <x:c r="B157" s="93" t="n">
        <x:v>0.14</x:v>
      </x:c>
      <x:c r="C157" s="94" t="str">
        <x:v>CORBLACBS</x:v>
      </x:c>
      <x:c r="D157" s="94" t="str">
        <x:v>https://fred.stlouisfed.org/series/CORBLACBS</x:v>
      </x:c>
    </x:row>
    <x:row r="158">
      <x:c r="A158" s="92" t="n">
        <x:v>44743</x:v>
      </x:c>
      <x:c r="B158" s="93" t="n">
        <x:v>0.16</x:v>
      </x:c>
      <x:c r="C158" s="94" t="str">
        <x:v>CORBLACBS</x:v>
      </x:c>
      <x:c r="D158" s="94" t="str">
        <x:v>https://fred.stlouisfed.org/series/CORBLACBS</x:v>
      </x:c>
    </x:row>
    <x:row r="159">
      <x:c r="A159" s="92" t="n">
        <x:v>44835</x:v>
      </x:c>
      <x:c r="B159" s="93" t="n">
        <x:v>0.23</x:v>
      </x:c>
      <x:c r="C159" s="94" t="str">
        <x:v>CORBLACBS</x:v>
      </x:c>
      <x:c r="D159" s="94" t="str">
        <x:v>https://fred.stlouisfed.org/series/CORBLACBS</x:v>
      </x:c>
    </x:row>
    <x:row r="160">
      <x:c r="A160" s="92" t="n">
        <x:v>44927</x:v>
      </x:c>
      <x:c r="B160" s="93" t="n">
        <x:v>0.28</x:v>
      </x:c>
      <x:c r="C160" s="94" t="str">
        <x:v>CORBLACBS</x:v>
      </x:c>
      <x:c r="D160" s="94" t="str">
        <x:v>https://fred.stlouisfed.org/series/CORBLACBS</x:v>
      </x:c>
    </x:row>
    <x:row r="161">
      <x:c r="A161" s="92" t="n">
        <x:v>45017</x:v>
      </x:c>
      <x:c r="B161" s="93" t="n">
        <x:v>0.31</x:v>
      </x:c>
      <x:c r="C161" s="94" t="str">
        <x:v>CORBLACBS</x:v>
      </x:c>
      <x:c r="D161" s="94" t="str">
        <x:v>https://fred.stlouisfed.org/series/CORBLACBS</x:v>
      </x:c>
    </x:row>
    <x:row r="162">
      <x:c r="A162" s="92" t="n">
        <x:v>45108</x:v>
      </x:c>
      <x:c r="B162" s="93" t="n">
        <x:v>0.39</x:v>
      </x:c>
      <x:c r="C162" s="94" t="str">
        <x:v>CORBLACBS</x:v>
      </x:c>
      <x:c r="D162" s="94" t="str">
        <x:v>https://fred.stlouisfed.org/series/CORBLACBS</x:v>
      </x:c>
    </x:row>
    <x:row r="163">
      <x:c r="A163" s="92" t="n">
        <x:v>45200</x:v>
      </x:c>
      <x:c r="B163" s="93" t="n">
        <x:v>0.42</x:v>
      </x:c>
      <x:c r="C163" s="94" t="str">
        <x:v>CORBLACBS</x:v>
      </x:c>
      <x:c r="D163" s="94" t="str">
        <x:v>https://fred.stlouisfed.org/series/CORBLACBS</x:v>
      </x:c>
    </x:row>
    <x:row r="164">
      <x:c r="A164" s="92" t="n">
        <x:v>45292</x:v>
      </x:c>
      <x:c r="B164" s="93" t="n">
        <x:v>0.44</x:v>
      </x:c>
      <x:c r="C164" s="94" t="str">
        <x:v>CORBLACBS</x:v>
      </x:c>
      <x:c r="D164" s="94" t="str">
        <x:v>https://fred.stlouisfed.org/series/CORBLACBS</x:v>
      </x:c>
    </x:row>
    <x:row r="165">
      <x:c r="A165" s="92" t="n">
        <x:v>45383</x:v>
      </x:c>
      <x:c r="B165" s="93" t="n">
        <x:v>0.48</x:v>
      </x:c>
      <x:c r="C165" s="94" t="str">
        <x:v>CORBLACBS</x:v>
      </x:c>
      <x:c r="D165" s="94" t="str">
        <x:v>https://fred.stlouisfed.org/series/CORBLACBS</x:v>
      </x:c>
    </x:row>
    <x:row r="166">
      <x:c r="A166" s="92" t="n">
        <x:v>45474</x:v>
      </x:c>
      <x:c r="B166" s="93" t="n">
        <x:v>0.55</x:v>
      </x:c>
      <x:c r="C166" s="94" t="str">
        <x:v>CORBLACBS</x:v>
      </x:c>
      <x:c r="D166" s="94" t="str">
        <x:v>https://fred.stlouisfed.org/series/CORBLACBS</x:v>
      </x:c>
    </x:row>
    <x:row r="167">
      <x:c r="A167" s="92" t="n">
        <x:v>45566</x:v>
      </x:c>
      <x:c r="B167" s="93" t="n">
        <x:v>0.52</x:v>
      </x:c>
      <x:c r="C167" s="94" t="str">
        <x:v>CORBLACBS</x:v>
      </x:c>
      <x:c r="D167" s="94" t="str">
        <x:v>https://fred.stlouisfed.org/series/CORBLACBS</x:v>
      </x:c>
    </x:row>
  </x:sheetData>
  <x:mergeCells>
    <x:mergeCell ref="A1:D1"/>
    <x:mergeCell ref="A3:D3"/>
  </x:mergeCells>
  <x:pageMargins left="0.7" right="0.7" top="0.75" bottom="0.75" header="0.3" footer="0.3"/>
  <x:tableParts count="1">
    <x:tablePart xmlns:r="http://schemas.openxmlformats.org/officeDocument/2006/relationships" r:id="R3700235835d54d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4" hidden="0" customWidth="1"/>
    <x:col min="4" max="4" width="22" hidden="0" customWidth="1"/>
    <x:col min="5" max="5" width="19" hidden="0" customWidth="1"/>
    <x:col min="6" max="6" width="27" hidden="0" customWidth="1"/>
    <x:col min="7" max="7" width="24" hidden="0" customWidth="1"/>
    <x:col min="8" max="8" width="29" hidden="0" customWidth="1"/>
  </x:cols>
  <x:sheetData>
    <x:row r="1">
      <x:c r="A1" s="86" t="str">
        <x:v>Annual business-loan loss indicator calibrated to the HQM rating universe</x:v>
      </x:c>
      <x:c r="B1" s="86"/>
      <x:c r="C1" s="86"/>
      <x:c r="D1" s="86"/>
      <x:c r="E1" s="86"/>
      <x:c r="F1" s="86"/>
      <x:c r="G1" s="86"/>
      <x:c r="H1" s="86"/>
    </x:row>
    <x:row r="3">
      <x:c r="A3" s="5" t="str">
        <x:v>The book uses 1986-2024. Derived columns are formulas linked to the quarterly source sheet and the assumptions on the Read me sheet.</x:v>
      </x:c>
      <x:c r="B3" s="5"/>
      <x:c r="C3" s="5"/>
      <x:c r="D3" s="5"/>
      <x:c r="E3" s="5"/>
      <x:c r="F3" s="5"/>
      <x:c r="G3" s="5"/>
      <x:c r="H3" s="5"/>
    </x:row>
    <x:row r="5">
      <x:c r="A5" s="40" t="str">
        <x:v>Check</x:v>
      </x:c>
      <x:c r="B5" s="40" t="n">
        <x:f>COUNT(E8:E47)</x:f>
        <x:v>39</x:v>
      </x:c>
      <x:c r="C5" s="40"/>
      <x:c r="D5" s="40" t="str">
        <x:v>Mean expected loss (bp)</x:v>
      </x:c>
      <x:c r="E5" s="95" t="n">
        <x:f>AVERAGE(E8:E47)</x:f>
        <x:v>3.543333333333335</x:v>
      </x:c>
      <x:c r="F5" s="95" t="str">
        <x:v>Expected</x:v>
      </x:c>
      <x:c r="G5" s="95" t="n">
        <x:f>'Read me'!B11</x:f>
        <x:v>3.5433333333333334</x:v>
      </x:c>
      <x:c r="H5" s="96" t="str">
        <x:f>IF(AND(B5=39,ABS(E5-G5)&lt;0.000001),"OK","CHECK")</x:f>
        <x:v>OK</x:v>
      </x:c>
    </x:row>
    <x:row r="7">
      <x:c r="A7" s="104" t="str">
        <x:v>Year</x:v>
      </x:c>
      <x:c r="B7" s="104" t="str">
        <x:v>Annual charge-off rate (%)</x:v>
      </x:c>
      <x:c r="C7" s="104" t="str">
        <x:v>Book sample</x:v>
      </x:c>
      <x:c r="D7" s="104" t="str">
        <x:v>Normalized loss cycle</x:v>
      </x:c>
      <x:c r="E7" s="104" t="str">
        <x:v>Expected loss (bp)</x:v>
      </x:c>
      <x:c r="F7" s="104" t="str">
        <x:v>Physical default intensity (%)</x:v>
      </x:c>
      <x:c r="G7" s="104" t="str">
        <x:v>Physical intensity (decimal)</x:v>
      </x:c>
      <x:c r="H7" s="104" t="str">
        <x:v>Loss reconstruction error (bp)</x:v>
      </x:c>
    </x:row>
    <x:row r="8">
      <x:c r="A8" s="105" t="n">
        <x:v>1985</x:v>
      </x:c>
      <x:c r="B8" s="106" t="n">
        <x:f>AVERAGEIFS('Quarterly source'!$B$8:$B$167,'Quarterly source'!$A$8:$A$167,"&gt;="&amp;DATE(A8,1,1),'Quarterly source'!$A$8:$A$167,"&lt;="&amp;DATE(A8,12,31))</x:f>
        <x:v>1.3375</x:v>
      </x:c>
      <x:c r="C8" s="94" t="b">
        <x:f>AND(A8&gt;='Read me'!$B$6,A8&lt;='Read me'!$C$6)</x:f>
        <x:v>0</x:v>
      </x:c>
      <x:c r="D8" s="106" t="str">
        <x:f>IF(C8,B8/'Read me'!$B$7,"")</x:f>
      </x:c>
      <x:c r="E8" s="106" t="str">
        <x:f>IF(C8,D8*'Read me'!$B$11,"")</x:f>
      </x:c>
      <x:c r="F8" s="106" t="str">
        <x:f>IF(C8,E8/100/(1-'Read me'!$B$12),"")</x:f>
      </x:c>
      <x:c r="G8" s="107" t="str">
        <x:f>IF(C8,F8/100,"")</x:f>
      </x:c>
      <x:c r="H8" s="107" t="str">
        <x:f>IF(C8,F8*(1-'Read me'!$B$12)*100-E8,"")</x:f>
      </x:c>
    </x:row>
    <x:row r="9">
      <x:c r="A9" s="105" t="n">
        <x:v>1986</x:v>
      </x:c>
      <x:c r="B9" s="106" t="n">
        <x:f>AVERAGEIFS('Quarterly source'!$B$8:$B$167,'Quarterly source'!$A$8:$A$167,"&gt;="&amp;DATE(A9,1,1),'Quarterly source'!$A$8:$A$167,"&lt;="&amp;DATE(A9,12,31))</x:f>
        <x:v>1.4925000000000002</x:v>
      </x:c>
      <x:c r="C9" s="94" t="b">
        <x:f>AND(A9&gt;='Read me'!$B$6,A9&lt;='Read me'!$C$6)</x:f>
        <x:v>1</x:v>
      </x:c>
      <x:c r="D9" s="106" t="n">
        <x:f>IF(C9,B9/'Read me'!$B$7,"")</x:f>
        <x:v>1.9992272024729527</x:v>
      </x:c>
      <x:c r="E9" s="106" t="n">
        <x:f>IF(C9,D9*'Read me'!$B$11,"")</x:f>
        <x:v>7.083928387429163</x:v>
      </x:c>
      <x:c r="F9" s="106" t="n">
        <x:f>IF(C9,E9/100/(1-'Read me'!$B$12),"")</x:f>
        <x:v>0.17709820968572906</x:v>
      </x:c>
      <x:c r="G9" s="107" t="n">
        <x:f>IF(C9,F9/100,"")</x:f>
        <x:v>0.0017709820968572906</x:v>
      </x:c>
      <x:c r="H9" s="107" t="n">
        <x:f>IF(C9,F9*(1-'Read me'!$B$12)*100-E9,"")</x:f>
        <x:v>0</x:v>
      </x:c>
    </x:row>
    <x:row r="10">
      <x:c r="A10" s="105" t="n">
        <x:v>1987</x:v>
      </x:c>
      <x:c r="B10" s="106" t="n">
        <x:f>AVERAGEIFS('Quarterly source'!$B$8:$B$167,'Quarterly source'!$A$8:$A$167,"&gt;="&amp;DATE(A10,1,1),'Quarterly source'!$A$8:$A$167,"&lt;="&amp;DATE(A10,12,31))</x:f>
        <x:v>1.1825</x:v>
      </x:c>
      <x:c r="C10" s="94" t="b">
        <x:f>AND(A10&gt;='Read me'!$B$6,A10&lt;='Read me'!$C$6)</x:f>
        <x:v>1</x:v>
      </x:c>
      <x:c r="D10" s="106" t="n">
        <x:f>IF(C10,B10/'Read me'!$B$7,"")</x:f>
        <x:v>1.5839773312725405</x:v>
      </x:c>
      <x:c r="E10" s="106" t="n">
        <x:f>IF(C10,D10*'Read me'!$B$11,"")</x:f>
        <x:v>5.612559677142369</x:v>
      </x:c>
      <x:c r="F10" s="106" t="n">
        <x:f>IF(C10,E10/100/(1-'Read me'!$B$12),"")</x:f>
        <x:v>0.1403139919285592</x:v>
      </x:c>
      <x:c r="G10" s="107" t="n">
        <x:f>IF(C10,F10/100,"")</x:f>
        <x:v>0.001403139919285592</x:v>
      </x:c>
      <x:c r="H10" s="107" t="n">
        <x:f>IF(C10,F10*(1-'Read me'!$B$12)*100-E10,"")</x:f>
        <x:v>-8.881784197001252e-16</x:v>
      </x:c>
    </x:row>
    <x:row r="11">
      <x:c r="A11" s="105" t="n">
        <x:v>1988</x:v>
      </x:c>
      <x:c r="B11" s="106" t="n">
        <x:f>AVERAGEIFS('Quarterly source'!$B$8:$B$167,'Quarterly source'!$A$8:$A$167,"&gt;="&amp;DATE(A11,1,1),'Quarterly source'!$A$8:$A$167,"&lt;="&amp;DATE(A11,12,31))</x:f>
        <x:v>1.1275</x:v>
      </x:c>
      <x:c r="C11" s="94" t="b">
        <x:f>AND(A11&gt;='Read me'!$B$6,A11&lt;='Read me'!$C$6)</x:f>
        <x:v>1</x:v>
      </x:c>
      <x:c r="D11" s="106" t="n">
        <x:f>IF(C11,B11/'Read me'!$B$7,"")</x:f>
        <x:v>1.5103039670273057</x:v>
      </x:c>
      <x:c r="E11" s="106" t="n">
        <x:f>IF(C11,D11*'Read me'!$B$11,"")</x:f>
        <x:v>5.35151038983342</x:v>
      </x:c>
      <x:c r="F11" s="106" t="n">
        <x:f>IF(C11,E11/100/(1-'Read me'!$B$12),"")</x:f>
        <x:v>0.13378775974583548</x:v>
      </x:c>
      <x:c r="G11" s="107" t="n">
        <x:f>IF(C11,F11/100,"")</x:f>
        <x:v>0.0013378775974583548</x:v>
      </x:c>
      <x:c r="H11" s="107" t="n">
        <x:f>IF(C11,F11*(1-'Read me'!$B$12)*100-E11,"")</x:f>
        <x:v>-8.881784197001252e-16</x:v>
      </x:c>
    </x:row>
    <x:row r="12">
      <x:c r="A12" s="105" t="n">
        <x:v>1989</x:v>
      </x:c>
      <x:c r="B12" s="106" t="n">
        <x:f>AVERAGEIFS('Quarterly source'!$B$8:$B$167,'Quarterly source'!$A$8:$A$167,"&gt;="&amp;DATE(A12,1,1),'Quarterly source'!$A$8:$A$167,"&lt;="&amp;DATE(A12,12,31))</x:f>
        <x:v>1.0325</x:v>
      </x:c>
      <x:c r="C12" s="94" t="b">
        <x:f>AND(A12&gt;='Read me'!$B$6,A12&lt;='Read me'!$C$6)</x:f>
        <x:v>1</x:v>
      </x:c>
      <x:c r="D12" s="106" t="n">
        <x:f>IF(C12,B12/'Read me'!$B$7,"")</x:f>
        <x:v>1.3830499742400828</x:v>
      </x:c>
      <x:c r="E12" s="106" t="n">
        <x:f>IF(C12,D12*'Read me'!$B$11,"")</x:f>
        <x:v>4.900607075390694</x:v>
      </x:c>
      <x:c r="F12" s="106" t="n">
        <x:f>IF(C12,E12/100/(1-'Read me'!$B$12),"")</x:f>
        <x:v>0.12251517688476733</x:v>
      </x:c>
      <x:c r="G12" s="107" t="n">
        <x:f>IF(C12,F12/100,"")</x:f>
        <x:v>0.0012251517688476733</x:v>
      </x:c>
      <x:c r="H12" s="107" t="n">
        <x:f>IF(C12,F12*(1-'Read me'!$B$12)*100-E12,"")</x:f>
        <x:v>0</x:v>
      </x:c>
    </x:row>
    <x:row r="13">
      <x:c r="A13" s="105" t="n">
        <x:v>1990</x:v>
      </x:c>
      <x:c r="B13" s="106" t="n">
        <x:f>AVERAGEIFS('Quarterly source'!$B$8:$B$167,'Quarterly source'!$A$8:$A$167,"&gt;="&amp;DATE(A13,1,1),'Quarterly source'!$A$8:$A$167,"&lt;="&amp;DATE(A13,12,31))</x:f>
        <x:v>1.355</x:v>
      </x:c>
      <x:c r="C13" s="94" t="b">
        <x:f>AND(A13&gt;='Read me'!$B$6,A13&lt;='Read me'!$C$6)</x:f>
        <x:v>1</x:v>
      </x:c>
      <x:c r="D13" s="106" t="n">
        <x:f>IF(C13,B13/'Read me'!$B$7,"")</x:f>
        <x:v>1.8150437918598665</x:v>
      </x:c>
      <x:c r="E13" s="106" t="n">
        <x:f>IF(C13,D13*'Read me'!$B$11,"")</x:f>
        <x:v>6.4313051691567935</x:v>
      </x:c>
      <x:c r="F13" s="106" t="n">
        <x:f>IF(C13,E13/100/(1-'Read me'!$B$12),"")</x:f>
        <x:v>0.16078262922891984</x:v>
      </x:c>
      <x:c r="G13" s="107" t="n">
        <x:f>IF(C13,F13/100,"")</x:f>
        <x:v>0.0016078262922891984</x:v>
      </x:c>
      <x:c r="H13" s="107" t="n">
        <x:f>IF(C13,F13*(1-'Read me'!$B$12)*100-E13,"")</x:f>
        <x:v>0</x:v>
      </x:c>
    </x:row>
    <x:row r="14">
      <x:c r="A14" s="105" t="n">
        <x:v>1991</x:v>
      </x:c>
      <x:c r="B14" s="106" t="n">
        <x:f>AVERAGEIFS('Quarterly source'!$B$8:$B$167,'Quarterly source'!$A$8:$A$167,"&gt;="&amp;DATE(A14,1,1),'Quarterly source'!$A$8:$A$167,"&lt;="&amp;DATE(A14,12,31))</x:f>
        <x:v>1.785</x:v>
      </x:c>
      <x:c r="C14" s="94" t="b">
        <x:f>AND(A14&gt;='Read me'!$B$6,A14&lt;='Read me'!$C$6)</x:f>
        <x:v>1</x:v>
      </x:c>
      <x:c r="D14" s="106" t="n">
        <x:f>IF(C14,B14/'Read me'!$B$7,"")</x:f>
        <x:v>2.3910355486862445</x:v>
      </x:c>
      <x:c r="E14" s="106" t="n">
        <x:f>IF(C14,D14*'Read me'!$B$11,"")</x:f>
        <x:v>8.472235960844927</x:v>
      </x:c>
      <x:c r="F14" s="106" t="n">
        <x:f>IF(C14,E14/100/(1-'Read me'!$B$12),"")</x:f>
        <x:v>0.21180589902112315</x:v>
      </x:c>
      <x:c r="G14" s="107" t="n">
        <x:f>IF(C14,F14/100,"")</x:f>
        <x:v>0.0021180589902112315</x:v>
      </x:c>
      <x:c r="H14" s="107" t="n">
        <x:f>IF(C14,F14*(1-'Read me'!$B$12)*100-E14,"")</x:f>
        <x:v>0</x:v>
      </x:c>
    </x:row>
    <x:row r="15">
      <x:c r="A15" s="105" t="n">
        <x:v>1992</x:v>
      </x:c>
      <x:c r="B15" s="106" t="n">
        <x:f>AVERAGEIFS('Quarterly source'!$B$8:$B$167,'Quarterly source'!$A$8:$A$167,"&gt;="&amp;DATE(A15,1,1),'Quarterly source'!$A$8:$A$167,"&lt;="&amp;DATE(A15,12,31))</x:f>
        <x:v>1.4325</x:v>
      </x:c>
      <x:c r="C15" s="94" t="b">
        <x:f>AND(A15&gt;='Read me'!$B$6,A15&lt;='Read me'!$C$6)</x:f>
        <x:v>1</x:v>
      </x:c>
      <x:c r="D15" s="106" t="n">
        <x:f>IF(C15,B15/'Read me'!$B$7,"")</x:f>
        <x:v>1.9188562596599696</x:v>
      </x:c>
      <x:c r="E15" s="106" t="n">
        <x:f>IF(C15,D15*'Read me'!$B$11,"")</x:f>
        <x:v>6.799147346728493</x:v>
      </x:c>
      <x:c r="F15" s="106" t="n">
        <x:f>IF(C15,E15/100/(1-'Read me'!$B$12),"")</x:f>
        <x:v>0.1699786836682123</x:v>
      </x:c>
      <x:c r="G15" s="107" t="n">
        <x:f>IF(C15,F15/100,"")</x:f>
        <x:v>0.0016997868366821231</x:v>
      </x:c>
      <x:c r="H15" s="107" t="n">
        <x:f>IF(C15,F15*(1-'Read me'!$B$12)*100-E15,"")</x:f>
        <x:v>0</x:v>
      </x:c>
    </x:row>
    <x:row r="16">
      <x:c r="A16" s="105" t="n">
        <x:v>1993</x:v>
      </x:c>
      <x:c r="B16" s="106" t="n">
        <x:f>AVERAGEIFS('Quarterly source'!$B$8:$B$167,'Quarterly source'!$A$8:$A$167,"&gt;="&amp;DATE(A16,1,1),'Quarterly source'!$A$8:$A$167,"&lt;="&amp;DATE(A16,12,31))</x:f>
        <x:v>0.7575000000000001</x:v>
      </x:c>
      <x:c r="C16" s="94" t="b">
        <x:f>AND(A16&gt;='Read me'!$B$6,A16&lt;='Read me'!$C$6)</x:f>
        <x:v>1</x:v>
      </x:c>
      <x:c r="D16" s="106" t="n">
        <x:f>IF(C16,B16/'Read me'!$B$7,"")</x:f>
        <x:v>1.0146831530139107</x:v>
      </x:c>
      <x:c r="E16" s="106" t="n">
        <x:f>IF(C16,D16*'Read me'!$B$11,"")</x:f>
        <x:v>3.595360638845957</x:v>
      </x:c>
      <x:c r="F16" s="106" t="n">
        <x:f>IF(C16,E16/100/(1-'Read me'!$B$12),"")</x:f>
        <x:v>0.08988401597114892</x:v>
      </x:c>
      <x:c r="G16" s="107" t="n">
        <x:f>IF(C16,F16/100,"")</x:f>
        <x:v>0.0008988401597114892</x:v>
      </x:c>
      <x:c r="H16" s="107" t="n">
        <x:f>IF(C16,F16*(1-'Read me'!$B$12)*100-E16,"")</x:f>
        <x:v>0</x:v>
      </x:c>
    </x:row>
    <x:row r="17">
      <x:c r="A17" s="105" t="n">
        <x:v>1994</x:v>
      </x:c>
      <x:c r="B17" s="106" t="n">
        <x:f>AVERAGEIFS('Quarterly source'!$B$8:$B$167,'Quarterly source'!$A$8:$A$167,"&gt;="&amp;DATE(A17,1,1),'Quarterly source'!$A$8:$A$167,"&lt;="&amp;DATE(A17,12,31))</x:f>
        <x:v>0.26</x:v>
      </x:c>
      <x:c r="C17" s="94" t="b">
        <x:f>AND(A17&gt;='Read me'!$B$6,A17&lt;='Read me'!$C$6)</x:f>
        <x:v>1</x:v>
      </x:c>
      <x:c r="D17" s="106" t="n">
        <x:f>IF(C17,B17/'Read me'!$B$7,"")</x:f>
        <x:v>0.34827408552292644</x:v>
      </x:c>
      <x:c r="E17" s="106" t="n">
        <x:f>IF(C17,D17*'Read me'!$B$11,"")</x:f>
        <x:v>1.2340511763695694</x:v>
      </x:c>
      <x:c r="F17" s="106" t="n">
        <x:f>IF(C17,E17/100/(1-'Read me'!$B$12),"")</x:f>
        <x:v>0.03085127940923923</x:v>
      </x:c>
      <x:c r="G17" s="107" t="n">
        <x:f>IF(C17,F17/100,"")</x:f>
        <x:v>0.0003085127940923923</x:v>
      </x:c>
      <x:c r="H17" s="107" t="n">
        <x:f>IF(C17,F17*(1-'Read me'!$B$12)*100-E17,"")</x:f>
        <x:v>0</x:v>
      </x:c>
    </x:row>
    <x:row r="18">
      <x:c r="A18" s="105" t="n">
        <x:v>1995</x:v>
      </x:c>
      <x:c r="B18" s="106" t="n">
        <x:f>AVERAGEIFS('Quarterly source'!$B$8:$B$167,'Quarterly source'!$A$8:$A$167,"&gt;="&amp;DATE(A18,1,1),'Quarterly source'!$A$8:$A$167,"&lt;="&amp;DATE(A18,12,31))</x:f>
        <x:v>0.22250000000000003</x:v>
      </x:c>
      <x:c r="C18" s="94" t="b">
        <x:f>AND(A18&gt;='Read me'!$B$6,A18&lt;='Read me'!$C$6)</x:f>
        <x:v>1</x:v>
      </x:c>
      <x:c r="D18" s="106" t="n">
        <x:f>IF(C18,B18/'Read me'!$B$7,"")</x:f>
        <x:v>0.29804224626481207</x:v>
      </x:c>
      <x:c r="E18" s="106" t="n">
        <x:f>IF(C18,D18*'Read me'!$B$11,"")</x:f>
        <x:v>1.0560630259316508</x:v>
      </x:c>
      <x:c r="F18" s="106" t="n">
        <x:f>IF(C18,E18/100/(1-'Read me'!$B$12),"")</x:f>
        <x:v>0.026401575648291268</x:v>
      </x:c>
      <x:c r="G18" s="107" t="n">
        <x:f>IF(C18,F18/100,"")</x:f>
        <x:v>0.0002640157564829127</x:v>
      </x:c>
      <x:c r="H18" s="107" t="n">
        <x:f>IF(C18,F18*(1-'Read me'!$B$12)*100-E18,"")</x:f>
        <x:v>0</x:v>
      </x:c>
    </x:row>
    <x:row r="19">
      <x:c r="A19" s="105" t="n">
        <x:v>1996</x:v>
      </x:c>
      <x:c r="B19" s="106" t="n">
        <x:f>AVERAGEIFS('Quarterly source'!$B$8:$B$167,'Quarterly source'!$A$8:$A$167,"&gt;="&amp;DATE(A19,1,1),'Quarterly source'!$A$8:$A$167,"&lt;="&amp;DATE(A19,12,31))</x:f>
        <x:v>0.255</x:v>
      </x:c>
      <x:c r="C19" s="94" t="b">
        <x:f>AND(A19&gt;='Read me'!$B$6,A19&lt;='Read me'!$C$6)</x:f>
        <x:v>1</x:v>
      </x:c>
      <x:c r="D19" s="106" t="n">
        <x:f>IF(C19,B19/'Read me'!$B$7,"")</x:f>
        <x:v>0.3415765069551778</x:v>
      </x:c>
      <x:c r="E19" s="106" t="n">
        <x:f>IF(C19,D19*'Read me'!$B$11,"")</x:f>
        <x:v>1.210319422977847</x:v>
      </x:c>
      <x:c r="F19" s="106" t="n">
        <x:f>IF(C19,E19/100/(1-'Read me'!$B$12),"")</x:f>
        <x:v>0.03025798557444617</x:v>
      </x:c>
      <x:c r="G19" s="107" t="n">
        <x:f>IF(C19,F19/100,"")</x:f>
        <x:v>0.0003025798557444617</x:v>
      </x:c>
      <x:c r="H19" s="107" t="n">
        <x:f>IF(C19,F19*(1-'Read me'!$B$12)*100-E19,"")</x:f>
        <x:v>0</x:v>
      </x:c>
    </x:row>
    <x:row r="20">
      <x:c r="A20" s="105" t="n">
        <x:v>1997</x:v>
      </x:c>
      <x:c r="B20" s="106" t="n">
        <x:f>AVERAGEIFS('Quarterly source'!$B$8:$B$167,'Quarterly source'!$A$8:$A$167,"&gt;="&amp;DATE(A20,1,1),'Quarterly source'!$A$8:$A$167,"&lt;="&amp;DATE(A20,12,31))</x:f>
        <x:v>0.265</x:v>
      </x:c>
      <x:c r="C20" s="94" t="b">
        <x:f>AND(A20&gt;='Read me'!$B$6,A20&lt;='Read me'!$C$6)</x:f>
        <x:v>1</x:v>
      </x:c>
      <x:c r="D20" s="106" t="n">
        <x:f>IF(C20,B20/'Read me'!$B$7,"")</x:f>
        <x:v>0.354971664090675</x:v>
      </x:c>
      <x:c r="E20" s="106" t="n">
        <x:f>IF(C20,D20*'Read me'!$B$11,"")</x:f>
        <x:v>1.2577829297612917</x:v>
      </x:c>
      <x:c r="F20" s="106" t="n">
        <x:f>IF(C20,E20/100/(1-'Read me'!$B$12),"")</x:f>
        <x:v>0.03144457324403229</x:v>
      </x:c>
      <x:c r="G20" s="107" t="n">
        <x:f>IF(C20,F20/100,"")</x:f>
        <x:v>0.0003144457324403229</x:v>
      </x:c>
      <x:c r="H20" s="107" t="n">
        <x:f>IF(C20,F20*(1-'Read me'!$B$12)*100-E20,"")</x:f>
        <x:v>0</x:v>
      </x:c>
    </x:row>
    <x:row r="21">
      <x:c r="A21" s="105" t="n">
        <x:v>1998</x:v>
      </x:c>
      <x:c r="B21" s="106" t="n">
        <x:f>AVERAGEIFS('Quarterly source'!$B$8:$B$167,'Quarterly source'!$A$8:$A$167,"&gt;="&amp;DATE(A21,1,1),'Quarterly source'!$A$8:$A$167,"&lt;="&amp;DATE(A21,12,31))</x:f>
        <x:v>0.38499999999999995</x:v>
      </x:c>
      <x:c r="C21" s="94" t="b">
        <x:f>AND(A21&gt;='Read me'!$B$6,A21&lt;='Read me'!$C$6)</x:f>
        <x:v>1</x:v>
      </x:c>
      <x:c r="D21" s="106" t="n">
        <x:f>IF(C21,B21/'Read me'!$B$7,"")</x:f>
        <x:v>0.515713549716641</x:v>
      </x:c>
      <x:c r="E21" s="106" t="n">
        <x:f>IF(C21,D21*'Read me'!$B$11,"")</x:f>
        <x:v>1.8273450111626313</x:v>
      </x:c>
      <x:c r="F21" s="106" t="n">
        <x:f>IF(C21,E21/100/(1-'Read me'!$B$12),"")</x:f>
        <x:v>0.045683625279065776</x:v>
      </x:c>
      <x:c r="G21" s="107" t="n">
        <x:f>IF(C21,F21/100,"")</x:f>
        <x:v>0.0004568362527906578</x:v>
      </x:c>
      <x:c r="H21" s="107" t="n">
        <x:f>IF(C21,F21*(1-'Read me'!$B$12)*100-E21,"")</x:f>
        <x:v>0</x:v>
      </x:c>
    </x:row>
    <x:row r="22">
      <x:c r="A22" s="105" t="n">
        <x:v>1999</x:v>
      </x:c>
      <x:c r="B22" s="106" t="n">
        <x:f>AVERAGEIFS('Quarterly source'!$B$8:$B$167,'Quarterly source'!$A$8:$A$167,"&gt;="&amp;DATE(A22,1,1),'Quarterly source'!$A$8:$A$167,"&lt;="&amp;DATE(A22,12,31))</x:f>
        <x:v>0.545</x:v>
      </x:c>
      <x:c r="C22" s="94" t="b">
        <x:f>AND(A22&gt;='Read me'!$B$6,A22&lt;='Read me'!$C$6)</x:f>
        <x:v>1</x:v>
      </x:c>
      <x:c r="D22" s="106" t="n">
        <x:f>IF(C22,B22/'Read me'!$B$7,"")</x:f>
        <x:v>0.7300360638845957</x:v>
      </x:c>
      <x:c r="E22" s="106" t="n">
        <x:f>IF(C22,D22*'Read me'!$B$11,"")</x:f>
        <x:v>2.586761119697751</x:v>
      </x:c>
      <x:c r="F22" s="106" t="n">
        <x:f>IF(C22,E22/100/(1-'Read me'!$B$12),"")</x:f>
        <x:v>0.06466902799244377</x:v>
      </x:c>
      <x:c r="G22" s="107" t="n">
        <x:f>IF(C22,F22/100,"")</x:f>
        <x:v>0.0006466902799244377</x:v>
      </x:c>
      <x:c r="H22" s="107" t="n">
        <x:f>IF(C22,F22*(1-'Read me'!$B$12)*100-E22,"")</x:f>
        <x:v>0</x:v>
      </x:c>
    </x:row>
    <x:row r="23">
      <x:c r="A23" s="105" t="n">
        <x:v>2000</x:v>
      </x:c>
      <x:c r="B23" s="106" t="n">
        <x:f>AVERAGEIFS('Quarterly source'!$B$8:$B$167,'Quarterly source'!$A$8:$A$167,"&gt;="&amp;DATE(A23,1,1),'Quarterly source'!$A$8:$A$167,"&lt;="&amp;DATE(A23,12,31))</x:f>
        <x:v>0.7424999999999999</x:v>
      </x:c>
      <x:c r="C23" s="94" t="b">
        <x:f>AND(A23&gt;='Read me'!$B$6,A23&lt;='Read me'!$C$6)</x:f>
        <x:v>1</x:v>
      </x:c>
      <x:c r="D23" s="106" t="n">
        <x:f>IF(C23,B23/'Read me'!$B$7,"")</x:f>
        <x:v>0.9945904173106648</x:v>
      </x:c>
      <x:c r="E23" s="106" t="n">
        <x:f>IF(C23,D23*'Read me'!$B$11,"")</x:f>
        <x:v>3.524165378670789</x:v>
      </x:c>
      <x:c r="F23" s="106" t="n">
        <x:f>IF(C23,E23/100/(1-'Read me'!$B$12),"")</x:f>
        <x:v>0.08810413446676972</x:v>
      </x:c>
      <x:c r="G23" s="107" t="n">
        <x:f>IF(C23,F23/100,"")</x:f>
        <x:v>0.0008810413446676972</x:v>
      </x:c>
      <x:c r="H23" s="107" t="n">
        <x:f>IF(C23,F23*(1-'Read me'!$B$12)*100-E23,"")</x:f>
        <x:v>0</x:v>
      </x:c>
    </x:row>
    <x:row r="24">
      <x:c r="A24" s="105" t="n">
        <x:v>2001</x:v>
      </x:c>
      <x:c r="B24" s="106" t="n">
        <x:f>AVERAGEIFS('Quarterly source'!$B$8:$B$167,'Quarterly source'!$A$8:$A$167,"&gt;="&amp;DATE(A24,1,1),'Quarterly source'!$A$8:$A$167,"&lt;="&amp;DATE(A24,12,31))</x:f>
        <x:v>1.3775</x:v>
      </x:c>
      <x:c r="C24" s="94" t="b">
        <x:f>AND(A24&gt;='Read me'!$B$6,A24&lt;='Read me'!$C$6)</x:f>
        <x:v>1</x:v>
      </x:c>
      <x:c r="D24" s="106" t="n">
        <x:f>IF(C24,B24/'Read me'!$B$7,"")</x:f>
        <x:v>1.845182895414735</x:v>
      </x:c>
      <x:c r="E24" s="106" t="n">
        <x:f>IF(C24,D24*'Read me'!$B$11,"")</x:f>
        <x:v>6.538098059419545</x:v>
      </x:c>
      <x:c r="F24" s="106" t="n">
        <x:f>IF(C24,E24/100/(1-'Read me'!$B$12),"")</x:f>
        <x:v>0.16345245148548862</x:v>
      </x:c>
      <x:c r="G24" s="107" t="n">
        <x:f>IF(C24,F24/100,"")</x:f>
        <x:v>0.0016345245148548862</x:v>
      </x:c>
      <x:c r="H24" s="107" t="n">
        <x:f>IF(C24,F24*(1-'Read me'!$B$12)*100-E24,"")</x:f>
        <x:v>0</x:v>
      </x:c>
    </x:row>
    <x:row r="25">
      <x:c r="A25" s="105" t="n">
        <x:v>2002</x:v>
      </x:c>
      <x:c r="B25" s="106" t="n">
        <x:f>AVERAGEIFS('Quarterly source'!$B$8:$B$167,'Quarterly source'!$A$8:$A$167,"&gt;="&amp;DATE(A25,1,1),'Quarterly source'!$A$8:$A$167,"&lt;="&amp;DATE(A25,12,31))</x:f>
        <x:v>1.7975</x:v>
      </x:c>
      <x:c r="C25" s="94" t="b">
        <x:f>AND(A25&gt;='Read me'!$B$6,A25&lt;='Read me'!$C$6)</x:f>
        <x:v>1</x:v>
      </x:c>
      <x:c r="D25" s="106" t="n">
        <x:f>IF(C25,B25/'Read me'!$B$7,"")</x:f>
        <x:v>2.407779495105616</x:v>
      </x:c>
      <x:c r="E25" s="106" t="n">
        <x:f>IF(C25,D25*'Read me'!$B$11,"")</x:f>
        <x:v>8.531565344324234</x:v>
      </x:c>
      <x:c r="F25" s="106" t="n">
        <x:f>IF(C25,E25/100/(1-'Read me'!$B$12),"")</x:f>
        <x:v>0.21328913360810584</x:v>
      </x:c>
      <x:c r="G25" s="107" t="n">
        <x:f>IF(C25,F25/100,"")</x:f>
        <x:v>0.0021328913360810584</x:v>
      </x:c>
      <x:c r="H25" s="107" t="n">
        <x:f>IF(C25,F25*(1-'Read me'!$B$12)*100-E25,"")</x:f>
        <x:v>0</x:v>
      </x:c>
    </x:row>
    <x:row r="26">
      <x:c r="A26" s="105" t="n">
        <x:v>2003</x:v>
      </x:c>
      <x:c r="B26" s="106" t="n">
        <x:f>AVERAGEIFS('Quarterly source'!$B$8:$B$167,'Quarterly source'!$A$8:$A$167,"&gt;="&amp;DATE(A26,1,1),'Quarterly source'!$A$8:$A$167,"&lt;="&amp;DATE(A26,12,31))</x:f>
        <x:v>1.295</x:v>
      </x:c>
      <x:c r="C26" s="94" t="b">
        <x:f>AND(A26&gt;='Read me'!$B$6,A26&lt;='Read me'!$C$6)</x:f>
        <x:v>1</x:v>
      </x:c>
      <x:c r="D26" s="106" t="n">
        <x:f>IF(C26,B26/'Read me'!$B$7,"")</x:f>
        <x:v>1.7346728490468832</x:v>
      </x:c>
      <x:c r="E26" s="106" t="n">
        <x:f>IF(C26,D26*'Read me'!$B$11,"")</x:f>
        <x:v>6.146524128456123</x:v>
      </x:c>
      <x:c r="F26" s="106" t="n">
        <x:f>IF(C26,E26/100/(1-'Read me'!$B$12),"")</x:f>
        <x:v>0.15366310321140308</x:v>
      </x:c>
      <x:c r="G26" s="107" t="n">
        <x:f>IF(C26,F26/100,"")</x:f>
        <x:v>0.001536631032114031</x:v>
      </x:c>
      <x:c r="H26" s="107" t="n">
        <x:f>IF(C26,F26*(1-'Read me'!$B$12)*100-E26,"")</x:f>
        <x:v>8.881784197001252e-16</x:v>
      </x:c>
    </x:row>
    <x:row r="27">
      <x:c r="A27" s="105" t="n">
        <x:v>2004</x:v>
      </x:c>
      <x:c r="B27" s="106" t="n">
        <x:f>AVERAGEIFS('Quarterly source'!$B$8:$B$167,'Quarterly source'!$A$8:$A$167,"&gt;="&amp;DATE(A27,1,1),'Quarterly source'!$A$8:$A$167,"&lt;="&amp;DATE(A27,12,31))</x:f>
        <x:v>0.5549999999999999</x:v>
      </x:c>
      <x:c r="C27" s="94" t="b">
        <x:f>AND(A27&gt;='Read me'!$B$6,A27&lt;='Read me'!$C$6)</x:f>
        <x:v>1</x:v>
      </x:c>
      <x:c r="D27" s="106" t="n">
        <x:f>IF(C27,B27/'Read me'!$B$7,"")</x:f>
        <x:v>0.7434312210200928</x:v>
      </x:c>
      <x:c r="E27" s="106" t="n">
        <x:f>IF(C27,D27*'Read me'!$B$11,"")</x:f>
        <x:v>2.634224626481196</x:v>
      </x:c>
      <x:c r="F27" s="106" t="n">
        <x:f>IF(C27,E27/100/(1-'Read me'!$B$12),"")</x:f>
        <x:v>0.0658556156620299</x:v>
      </x:c>
      <x:c r="G27" s="107" t="n">
        <x:f>IF(C27,F27/100,"")</x:f>
        <x:v>0.000658556156620299</x:v>
      </x:c>
      <x:c r="H27" s="107" t="n">
        <x:f>IF(C27,F27*(1-'Read me'!$B$12)*100-E27,"")</x:f>
        <x:v>0</x:v>
      </x:c>
    </x:row>
    <x:row r="28">
      <x:c r="A28" s="105" t="n">
        <x:v>2005</x:v>
      </x:c>
      <x:c r="B28" s="106" t="n">
        <x:f>AVERAGEIFS('Quarterly source'!$B$8:$B$167,'Quarterly source'!$A$8:$A$167,"&gt;="&amp;DATE(A28,1,1),'Quarterly source'!$A$8:$A$167,"&lt;="&amp;DATE(A28,12,31))</x:f>
        <x:v>0.255</x:v>
      </x:c>
      <x:c r="C28" s="94" t="b">
        <x:f>AND(A28&gt;='Read me'!$B$6,A28&lt;='Read me'!$C$6)</x:f>
        <x:v>1</x:v>
      </x:c>
      <x:c r="D28" s="106" t="n">
        <x:f>IF(C28,B28/'Read me'!$B$7,"")</x:f>
        <x:v>0.3415765069551778</x:v>
      </x:c>
      <x:c r="E28" s="106" t="n">
        <x:f>IF(C28,D28*'Read me'!$B$11,"")</x:f>
        <x:v>1.210319422977847</x:v>
      </x:c>
      <x:c r="F28" s="106" t="n">
        <x:f>IF(C28,E28/100/(1-'Read me'!$B$12),"")</x:f>
        <x:v>0.03025798557444617</x:v>
      </x:c>
      <x:c r="G28" s="107" t="n">
        <x:f>IF(C28,F28/100,"")</x:f>
        <x:v>0.0003025798557444617</x:v>
      </x:c>
      <x:c r="H28" s="107" t="n">
        <x:f>IF(C28,F28*(1-'Read me'!$B$12)*100-E28,"")</x:f>
        <x:v>0</x:v>
      </x:c>
    </x:row>
    <x:row r="29">
      <x:c r="A29" s="105" t="n">
        <x:v>2006</x:v>
      </x:c>
      <x:c r="B29" s="106" t="n">
        <x:f>AVERAGEIFS('Quarterly source'!$B$8:$B$167,'Quarterly source'!$A$8:$A$167,"&gt;="&amp;DATE(A29,1,1),'Quarterly source'!$A$8:$A$167,"&lt;="&amp;DATE(A29,12,31))</x:f>
        <x:v>0.28</x:v>
      </x:c>
      <x:c r="C29" s="94" t="b">
        <x:f>AND(A29&gt;='Read me'!$B$6,A29&lt;='Read me'!$C$6)</x:f>
        <x:v>1</x:v>
      </x:c>
      <x:c r="D29" s="106" t="n">
        <x:f>IF(C29,B29/'Read me'!$B$7,"")</x:f>
        <x:v>0.37506439979392076</x:v>
      </x:c>
      <x:c r="E29" s="106" t="n">
        <x:f>IF(C29,D29*'Read me'!$B$11,"")</x:f>
        <x:v>1.3289781899364592</x:v>
      </x:c>
      <x:c r="F29" s="106" t="n">
        <x:f>IF(C29,E29/100/(1-'Read me'!$B$12),"")</x:f>
        <x:v>0.03322445474841148</x:v>
      </x:c>
      <x:c r="G29" s="107" t="n">
        <x:f>IF(C29,F29/100,"")</x:f>
        <x:v>0.0003322445474841148</x:v>
      </x:c>
      <x:c r="H29" s="107" t="n">
        <x:f>IF(C29,F29*(1-'Read me'!$B$12)*100-E29,"")</x:f>
        <x:v>0</x:v>
      </x:c>
    </x:row>
    <x:row r="30">
      <x:c r="A30" s="105" t="n">
        <x:v>2007</x:v>
      </x:c>
      <x:c r="B30" s="106" t="n">
        <x:f>AVERAGEIFS('Quarterly source'!$B$8:$B$167,'Quarterly source'!$A$8:$A$167,"&gt;="&amp;DATE(A30,1,1),'Quarterly source'!$A$8:$A$167,"&lt;="&amp;DATE(A30,12,31))</x:f>
        <x:v>0.475</x:v>
      </x:c>
      <x:c r="C30" s="94" t="b">
        <x:f>AND(A30&gt;='Read me'!$B$6,A30&lt;='Read me'!$C$6)</x:f>
        <x:v>1</x:v>
      </x:c>
      <x:c r="D30" s="106" t="n">
        <x:f>IF(C30,B30/'Read me'!$B$7,"")</x:f>
        <x:v>0.6362699639361156</x:v>
      </x:c>
      <x:c r="E30" s="106" t="n">
        <x:f>IF(C30,D30*'Read me'!$B$11,"")</x:f>
        <x:v>2.254516572213636</x:v>
      </x:c>
      <x:c r="F30" s="106" t="n">
        <x:f>IF(C30,E30/100/(1-'Read me'!$B$12),"")</x:f>
        <x:v>0.056362914305340905</x:v>
      </x:c>
      <x:c r="G30" s="107" t="n">
        <x:f>IF(C30,F30/100,"")</x:f>
        <x:v>0.000563629143053409</x:v>
      </x:c>
      <x:c r="H30" s="107" t="n">
        <x:f>IF(C30,F30*(1-'Read me'!$B$12)*100-E30,"")</x:f>
        <x:v>0</x:v>
      </x:c>
    </x:row>
    <x:row r="31">
      <x:c r="A31" s="105" t="n">
        <x:v>2008</x:v>
      </x:c>
      <x:c r="B31" s="106" t="n">
        <x:f>AVERAGEIFS('Quarterly source'!$B$8:$B$167,'Quarterly source'!$A$8:$A$167,"&gt;="&amp;DATE(A31,1,1),'Quarterly source'!$A$8:$A$167,"&lt;="&amp;DATE(A31,12,31))</x:f>
        <x:v>0.9625</x:v>
      </x:c>
      <x:c r="C31" s="94" t="b">
        <x:f>AND(A31&gt;='Read me'!$B$6,A31&lt;='Read me'!$C$6)</x:f>
        <x:v>1</x:v>
      </x:c>
      <x:c r="D31" s="106" t="n">
        <x:f>IF(C31,B31/'Read me'!$B$7,"")</x:f>
        <x:v>1.2892838742916026</x:v>
      </x:c>
      <x:c r="E31" s="106" t="n">
        <x:f>IF(C31,D31*'Read me'!$B$11,"")</x:f>
        <x:v>4.5683625279065785</x:v>
      </x:c>
      <x:c r="F31" s="106" t="n">
        <x:f>IF(C31,E31/100/(1-'Read me'!$B$12),"")</x:f>
        <x:v>0.11420906319766445</x:v>
      </x:c>
      <x:c r="G31" s="107" t="n">
        <x:f>IF(C31,F31/100,"")</x:f>
        <x:v>0.0011420906319766445</x:v>
      </x:c>
      <x:c r="H31" s="107" t="n">
        <x:f>IF(C31,F31*(1-'Read me'!$B$12)*100-E31,"")</x:f>
        <x:v>0</x:v>
      </x:c>
    </x:row>
    <x:row r="32">
      <x:c r="A32" s="105" t="n">
        <x:v>2009</x:v>
      </x:c>
      <x:c r="B32" s="106" t="n">
        <x:f>AVERAGEIFS('Quarterly source'!$B$8:$B$167,'Quarterly source'!$A$8:$A$167,"&gt;="&amp;DATE(A32,1,1),'Quarterly source'!$A$8:$A$167,"&lt;="&amp;DATE(A32,12,31))</x:f>
        <x:v>2.3024999999999998</x:v>
      </x:c>
      <x:c r="C32" s="94" t="b">
        <x:f>AND(A32&gt;='Read me'!$B$6,A32&lt;='Read me'!$C$6)</x:f>
        <x:v>1</x:v>
      </x:c>
      <x:c r="D32" s="106" t="n">
        <x:f>IF(C32,B32/'Read me'!$B$7,"")</x:f>
        <x:v>3.084234930448223</x:v>
      </x:c>
      <x:c r="E32" s="106" t="n">
        <x:f>IF(C32,D32*'Read me'!$B$11,"")</x:f>
        <x:v>10.928472436888203</x:v>
      </x:c>
      <x:c r="F32" s="106" t="n">
        <x:f>IF(C32,E32/100/(1-'Read me'!$B$12),"")</x:f>
        <x:v>0.2732118109222051</x:v>
      </x:c>
      <x:c r="G32" s="107" t="n">
        <x:f>IF(C32,F32/100,"")</x:f>
        <x:v>0.002732118109222051</x:v>
      </x:c>
      <x:c r="H32" s="107" t="n">
        <x:f>IF(C32,F32*(1-'Read me'!$B$12)*100-E32,"")</x:f>
        <x:v>0</x:v>
      </x:c>
    </x:row>
    <x:row r="33">
      <x:c r="A33" s="105" t="n">
        <x:v>2010</x:v>
      </x:c>
      <x:c r="B33" s="106" t="n">
        <x:f>AVERAGEIFS('Quarterly source'!$B$8:$B$167,'Quarterly source'!$A$8:$A$167,"&gt;="&amp;DATE(A33,1,1),'Quarterly source'!$A$8:$A$167,"&lt;="&amp;DATE(A33,12,31))</x:f>
        <x:v>1.7375</x:v>
      </x:c>
      <x:c r="C33" s="94" t="b">
        <x:f>AND(A33&gt;='Read me'!$B$6,A33&lt;='Read me'!$C$6)</x:f>
        <x:v>1</x:v>
      </x:c>
      <x:c r="D33" s="106" t="n">
        <x:f>IF(C33,B33/'Read me'!$B$7,"")</x:f>
        <x:v>2.327408552292633</x:v>
      </x:c>
      <x:c r="E33" s="106" t="n">
        <x:f>IF(C33,D33*'Read me'!$B$11,"")</x:f>
        <x:v>8.246784303623564</x:v>
      </x:c>
      <x:c r="F33" s="106" t="n">
        <x:f>IF(C33,E33/100/(1-'Read me'!$B$12),"")</x:f>
        <x:v>0.20616960759058908</x:v>
      </x:c>
      <x:c r="G33" s="107" t="n">
        <x:f>IF(C33,F33/100,"")</x:f>
        <x:v>0.002061696075905891</x:v>
      </x:c>
      <x:c r="H33" s="107" t="n">
        <x:f>IF(C33,F33*(1-'Read me'!$B$12)*100-E33,"")</x:f>
        <x:v>0</x:v>
      </x:c>
    </x:row>
    <x:row r="34">
      <x:c r="A34" s="105" t="n">
        <x:v>2011</x:v>
      </x:c>
      <x:c r="B34" s="106" t="n">
        <x:f>AVERAGEIFS('Quarterly source'!$B$8:$B$167,'Quarterly source'!$A$8:$A$167,"&gt;="&amp;DATE(A34,1,1),'Quarterly source'!$A$8:$A$167,"&lt;="&amp;DATE(A34,12,31))</x:f>
        <x:v>0.8650000000000001</x:v>
      </x:c>
      <x:c r="C34" s="94" t="b">
        <x:f>AND(A34&gt;='Read me'!$B$6,A34&lt;='Read me'!$C$6)</x:f>
        <x:v>1</x:v>
      </x:c>
      <x:c r="D34" s="106" t="n">
        <x:f>IF(C34,B34/'Read me'!$B$7,"")</x:f>
        <x:v>1.1586810922205053</x:v>
      </x:c>
      <x:c r="E34" s="106" t="n">
        <x:f>IF(C34,D34*'Read me'!$B$11,"")</x:f>
        <x:v>4.10559333676799</x:v>
      </x:c>
      <x:c r="F34" s="106" t="n">
        <x:f>IF(C34,E34/100/(1-'Read me'!$B$12),"")</x:f>
        <x:v>0.10263983341919976</x:v>
      </x:c>
      <x:c r="G34" s="107" t="n">
        <x:f>IF(C34,F34/100,"")</x:f>
        <x:v>0.0010263983341919976</x:v>
      </x:c>
      <x:c r="H34" s="107" t="n">
        <x:f>IF(C34,F34*(1-'Read me'!$B$12)*100-E34,"")</x:f>
        <x:v>0</x:v>
      </x:c>
    </x:row>
    <x:row r="35">
      <x:c r="A35" s="105" t="n">
        <x:v>2012</x:v>
      </x:c>
      <x:c r="B35" s="106" t="n">
        <x:f>AVERAGEIFS('Quarterly source'!$B$8:$B$167,'Quarterly source'!$A$8:$A$167,"&gt;="&amp;DATE(A35,1,1),'Quarterly source'!$A$8:$A$167,"&lt;="&amp;DATE(A35,12,31))</x:f>
        <x:v>0.48750000000000004</x:v>
      </x:c>
      <x:c r="C35" s="94" t="b">
        <x:f>AND(A35&gt;='Read me'!$B$6,A35&lt;='Read me'!$C$6)</x:f>
        <x:v>1</x:v>
      </x:c>
      <x:c r="D35" s="106" t="n">
        <x:f>IF(C35,B35/'Read me'!$B$7,"")</x:f>
        <x:v>0.6530139103554871</x:v>
      </x:c>
      <x:c r="E35" s="106" t="n">
        <x:f>IF(C35,D35*'Read me'!$B$11,"")</x:f>
        <x:v>2.3138459556929427</x:v>
      </x:c>
      <x:c r="F35" s="106" t="n">
        <x:f>IF(C35,E35/100/(1-'Read me'!$B$12),"")</x:f>
        <x:v>0.05784614889232356</x:v>
      </x:c>
      <x:c r="G35" s="107" t="n">
        <x:f>IF(C35,F35/100,"")</x:f>
        <x:v>0.0005784614889232356</x:v>
      </x:c>
      <x:c r="H35" s="107" t="n">
        <x:f>IF(C35,F35*(1-'Read me'!$B$12)*100-E35,"")</x:f>
        <x:v>0</x:v>
      </x:c>
    </x:row>
    <x:row r="36">
      <x:c r="A36" s="105" t="n">
        <x:v>2013</x:v>
      </x:c>
      <x:c r="B36" s="106" t="n">
        <x:f>AVERAGEIFS('Quarterly source'!$B$8:$B$167,'Quarterly source'!$A$8:$A$167,"&gt;="&amp;DATE(A36,1,1),'Quarterly source'!$A$8:$A$167,"&lt;="&amp;DATE(A36,12,31))</x:f>
        <x:v>0.2975</x:v>
      </x:c>
      <x:c r="C36" s="94" t="b">
        <x:f>AND(A36&gt;='Read me'!$B$6,A36&lt;='Read me'!$C$6)</x:f>
        <x:v>1</x:v>
      </x:c>
      <x:c r="D36" s="106" t="n">
        <x:f>IF(C36,B36/'Read me'!$B$7,"")</x:f>
        <x:v>0.39850592478104074</x:v>
      </x:c>
      <x:c r="E36" s="106" t="n">
        <x:f>IF(C36,D36*'Read me'!$B$11,"")</x:f>
        <x:v>1.4120393268074878</x:v>
      </x:c>
      <x:c r="F36" s="106" t="n">
        <x:f>IF(C36,E36/100/(1-'Read me'!$B$12),"")</x:f>
        <x:v>0.03530098317018719</x:v>
      </x:c>
      <x:c r="G36" s="107" t="n">
        <x:f>IF(C36,F36/100,"")</x:f>
        <x:v>0.0003530098317018719</x:v>
      </x:c>
      <x:c r="H36" s="107" t="n">
        <x:f>IF(C36,F36*(1-'Read me'!$B$12)*100-E36,"")</x:f>
        <x:v>0</x:v>
      </x:c>
    </x:row>
    <x:row r="37">
      <x:c r="A37" s="105" t="n">
        <x:v>2014</x:v>
      </x:c>
      <x:c r="B37" s="106" t="n">
        <x:f>AVERAGEIFS('Quarterly source'!$B$8:$B$167,'Quarterly source'!$A$8:$A$167,"&gt;="&amp;DATE(A37,1,1),'Quarterly source'!$A$8:$A$167,"&lt;="&amp;DATE(A37,12,31))</x:f>
        <x:v>0.215</x:v>
      </x:c>
      <x:c r="C37" s="94" t="b">
        <x:f>AND(A37&gt;='Read me'!$B$6,A37&lt;='Read me'!$C$6)</x:f>
        <x:v>1</x:v>
      </x:c>
      <x:c r="D37" s="106" t="n">
        <x:f>IF(C37,B37/'Read me'!$B$7,"")</x:f>
        <x:v>0.28799587841318913</x:v>
      </x:c>
      <x:c r="E37" s="106" t="n">
        <x:f>IF(C37,D37*'Read me'!$B$11,"")</x:f>
        <x:v>1.0204653958440668</x:v>
      </x:c>
      <x:c r="F37" s="106" t="n">
        <x:f>IF(C37,E37/100/(1-'Read me'!$B$12),"")</x:f>
        <x:v>0.02551163489610167</x:v>
      </x:c>
      <x:c r="G37" s="107" t="n">
        <x:f>IF(C37,F37/100,"")</x:f>
        <x:v>0.0002551163489610167</x:v>
      </x:c>
      <x:c r="H37" s="107" t="n">
        <x:f>IF(C37,F37*(1-'Read me'!$B$12)*100-E37,"")</x:f>
        <x:v>0</x:v>
      </x:c>
    </x:row>
    <x:row r="38">
      <x:c r="A38" s="105" t="n">
        <x:v>2015</x:v>
      </x:c>
      <x:c r="B38" s="106" t="n">
        <x:f>AVERAGEIFS('Quarterly source'!$B$8:$B$167,'Quarterly source'!$A$8:$A$167,"&gt;="&amp;DATE(A38,1,1),'Quarterly source'!$A$8:$A$167,"&lt;="&amp;DATE(A38,12,31))</x:f>
        <x:v>0.235</x:v>
      </x:c>
      <x:c r="C38" s="94" t="b">
        <x:f>AND(A38&gt;='Read me'!$B$6,A38&lt;='Read me'!$C$6)</x:f>
        <x:v>1</x:v>
      </x:c>
      <x:c r="D38" s="106" t="n">
        <x:f>IF(C38,B38/'Read me'!$B$7,"")</x:f>
        <x:v>0.31478619268418345</x:v>
      </x:c>
      <x:c r="E38" s="106" t="n">
        <x:f>IF(C38,D38*'Read me'!$B$11,"")</x:f>
        <x:v>1.1153924094109566</x:v>
      </x:c>
      <x:c r="F38" s="106" t="n">
        <x:f>IF(C38,E38/100/(1-'Read me'!$B$12),"")</x:f>
        <x:v>0.027884810235273914</x:v>
      </x:c>
      <x:c r="G38" s="107" t="n">
        <x:f>IF(C38,F38/100,"")</x:f>
        <x:v>0.00027884810235273913</x:v>
      </x:c>
      <x:c r="H38" s="107" t="n">
        <x:f>IF(C38,F38*(1-'Read me'!$B$12)*100-E38,"")</x:f>
        <x:v>0</x:v>
      </x:c>
    </x:row>
    <x:row r="39">
      <x:c r="A39" s="105" t="n">
        <x:v>2016</x:v>
      </x:c>
      <x:c r="B39" s="106" t="n">
        <x:f>AVERAGEIFS('Quarterly source'!$B$8:$B$167,'Quarterly source'!$A$8:$A$167,"&gt;="&amp;DATE(A39,1,1),'Quarterly source'!$A$8:$A$167,"&lt;="&amp;DATE(A39,12,31))</x:f>
        <x:v>0.435</x:v>
      </x:c>
      <x:c r="C39" s="94" t="b">
        <x:f>AND(A39&gt;='Read me'!$B$6,A39&lt;='Read me'!$C$6)</x:f>
        <x:v>1</x:v>
      </x:c>
      <x:c r="D39" s="106" t="n">
        <x:f>IF(C39,B39/'Read me'!$B$7,"")</x:f>
        <x:v>0.5826893353941268</x:v>
      </x:c>
      <x:c r="E39" s="106" t="n">
        <x:f>IF(C39,D39*'Read me'!$B$11,"")</x:f>
        <x:v>2.064662545079856</x:v>
      </x:c>
      <x:c r="F39" s="106" t="n">
        <x:f>IF(C39,E39/100/(1-'Read me'!$B$12),"")</x:f>
        <x:v>0.051616563626996396</x:v>
      </x:c>
      <x:c r="G39" s="107" t="n">
        <x:f>IF(C39,F39/100,"")</x:f>
        <x:v>0.000516165636269964</x:v>
      </x:c>
      <x:c r="H39" s="107" t="n">
        <x:f>IF(C39,F39*(1-'Read me'!$B$12)*100-E39,"")</x:f>
        <x:v>0</x:v>
      </x:c>
    </x:row>
    <x:row r="40">
      <x:c r="A40" s="105" t="n">
        <x:v>2017</x:v>
      </x:c>
      <x:c r="B40" s="106" t="n">
        <x:f>AVERAGEIFS('Quarterly source'!$B$8:$B$167,'Quarterly source'!$A$8:$A$167,"&gt;="&amp;DATE(A40,1,1),'Quarterly source'!$A$8:$A$167,"&lt;="&amp;DATE(A40,12,31))</x:f>
        <x:v>0.35250000000000004</x:v>
      </x:c>
      <x:c r="C40" s="94" t="b">
        <x:f>AND(A40&gt;='Read me'!$B$6,A40&lt;='Read me'!$C$6)</x:f>
        <x:v>1</x:v>
      </x:c>
      <x:c r="D40" s="106" t="n">
        <x:f>IF(C40,B40/'Read me'!$B$7,"")</x:f>
        <x:v>0.47217928902627526</x:v>
      </x:c>
      <x:c r="E40" s="106" t="n">
        <x:f>IF(C40,D40*'Read me'!$B$11,"")</x:f>
        <x:v>1.6730886141164354</x:v>
      </x:c>
      <x:c r="F40" s="106" t="n">
        <x:f>IF(C40,E40/100/(1-'Read me'!$B$12),"")</x:f>
        <x:v>0.04182721535291088</x:v>
      </x:c>
      <x:c r="G40" s="107" t="n">
        <x:f>IF(C40,F40/100,"")</x:f>
        <x:v>0.00041827215352910883</x:v>
      </x:c>
      <x:c r="H40" s="107" t="n">
        <x:f>IF(C40,F40*(1-'Read me'!$B$12)*100-E40,"")</x:f>
        <x:v>0</x:v>
      </x:c>
    </x:row>
    <x:row r="41">
      <x:c r="A41" s="105" t="n">
        <x:v>2018</x:v>
      </x:c>
      <x:c r="B41" s="106" t="n">
        <x:f>AVERAGEIFS('Quarterly source'!$B$8:$B$167,'Quarterly source'!$A$8:$A$167,"&gt;="&amp;DATE(A41,1,1),'Quarterly source'!$A$8:$A$167,"&lt;="&amp;DATE(A41,12,31))</x:f>
        <x:v>0.275</x:v>
      </x:c>
      <x:c r="C41" s="94" t="b">
        <x:f>AND(A41&gt;='Read me'!$B$6,A41&lt;='Read me'!$C$6)</x:f>
        <x:v>1</x:v>
      </x:c>
      <x:c r="D41" s="106" t="n">
        <x:f>IF(C41,B41/'Read me'!$B$7,"")</x:f>
        <x:v>0.3683668212261722</x:v>
      </x:c>
      <x:c r="E41" s="106" t="n">
        <x:f>IF(C41,D41*'Read me'!$B$11,"")</x:f>
        <x:v>1.305246436544737</x:v>
      </x:c>
      <x:c r="F41" s="106" t="n">
        <x:f>IF(C41,E41/100/(1-'Read me'!$B$12),"")</x:f>
        <x:v>0.03263116091361842</x:v>
      </x:c>
      <x:c r="G41" s="107" t="n">
        <x:f>IF(C41,F41/100,"")</x:f>
        <x:v>0.00032631160913618423</x:v>
      </x:c>
      <x:c r="H41" s="107" t="n">
        <x:f>IF(C41,F41*(1-'Read me'!$B$12)*100-E41,"")</x:f>
        <x:v>0</x:v>
      </x:c>
    </x:row>
    <x:row r="42">
      <x:c r="A42" s="105" t="n">
        <x:v>2019</x:v>
      </x:c>
      <x:c r="B42" s="106" t="n">
        <x:f>AVERAGEIFS('Quarterly source'!$B$8:$B$167,'Quarterly source'!$A$8:$A$167,"&gt;="&amp;DATE(A42,1,1),'Quarterly source'!$A$8:$A$167,"&lt;="&amp;DATE(A42,12,31))</x:f>
        <x:v>0.35250000000000004</x:v>
      </x:c>
      <x:c r="C42" s="94" t="b">
        <x:f>AND(A42&gt;='Read me'!$B$6,A42&lt;='Read me'!$C$6)</x:f>
        <x:v>1</x:v>
      </x:c>
      <x:c r="D42" s="106" t="n">
        <x:f>IF(C42,B42/'Read me'!$B$7,"")</x:f>
        <x:v>0.47217928902627526</x:v>
      </x:c>
      <x:c r="E42" s="106" t="n">
        <x:f>IF(C42,D42*'Read me'!$B$11,"")</x:f>
        <x:v>1.6730886141164354</x:v>
      </x:c>
      <x:c r="F42" s="106" t="n">
        <x:f>IF(C42,E42/100/(1-'Read me'!$B$12),"")</x:f>
        <x:v>0.04182721535291088</x:v>
      </x:c>
      <x:c r="G42" s="107" t="n">
        <x:f>IF(C42,F42/100,"")</x:f>
        <x:v>0.00041827215352910883</x:v>
      </x:c>
      <x:c r="H42" s="107" t="n">
        <x:f>IF(C42,F42*(1-'Read me'!$B$12)*100-E42,"")</x:f>
        <x:v>0</x:v>
      </x:c>
    </x:row>
    <x:row r="43">
      <x:c r="A43" s="105" t="n">
        <x:v>2020</x:v>
      </x:c>
      <x:c r="B43" s="106" t="n">
        <x:f>AVERAGEIFS('Quarterly source'!$B$8:$B$167,'Quarterly source'!$A$8:$A$167,"&gt;="&amp;DATE(A43,1,1),'Quarterly source'!$A$8:$A$167,"&lt;="&amp;DATE(A43,12,31))</x:f>
        <x:v>0.5175</x:v>
      </x:c>
      <x:c r="C43" s="94" t="b">
        <x:f>AND(A43&gt;='Read me'!$B$6,A43&lt;='Read me'!$C$6)</x:f>
        <x:v>1</x:v>
      </x:c>
      <x:c r="D43" s="106" t="n">
        <x:f>IF(C43,B43/'Read me'!$B$7,"")</x:f>
        <x:v>0.6931993817619785</x:v>
      </x:c>
      <x:c r="E43" s="106" t="n">
        <x:f>IF(C43,D43*'Read me'!$B$11,"")</x:f>
        <x:v>2.4562364760432773</x:v>
      </x:c>
      <x:c r="F43" s="106" t="n">
        <x:f>IF(C43,E43/100/(1-'Read me'!$B$12),"")</x:f>
        <x:v>0.061405911901081925</x:v>
      </x:c>
      <x:c r="G43" s="107" t="n">
        <x:f>IF(C43,F43/100,"")</x:f>
        <x:v>0.0006140591190108192</x:v>
      </x:c>
      <x:c r="H43" s="107" t="n">
        <x:f>IF(C43,F43*(1-'Read me'!$B$12)*100-E43,"")</x:f>
        <x:v>0</x:v>
      </x:c>
    </x:row>
    <x:row r="44">
      <x:c r="A44" s="105" t="n">
        <x:v>2021</x:v>
      </x:c>
      <x:c r="B44" s="106" t="n">
        <x:f>AVERAGEIFS('Quarterly source'!$B$8:$B$167,'Quarterly source'!$A$8:$A$167,"&gt;="&amp;DATE(A44,1,1),'Quarterly source'!$A$8:$A$167,"&lt;="&amp;DATE(A44,12,31))</x:f>
        <x:v>0.195</x:v>
      </x:c>
      <x:c r="C44" s="94" t="b">
        <x:f>AND(A44&gt;='Read me'!$B$6,A44&lt;='Read me'!$C$6)</x:f>
        <x:v>1</x:v>
      </x:c>
      <x:c r="D44" s="106" t="n">
        <x:f>IF(C44,B44/'Read me'!$B$7,"")</x:f>
        <x:v>0.2612055641421948</x:v>
      </x:c>
      <x:c r="E44" s="106" t="n">
        <x:f>IF(C44,D44*'Read me'!$B$11,"")</x:f>
        <x:v>0.925538382277177</x:v>
      </x:c>
      <x:c r="F44" s="106" t="n">
        <x:f>IF(C44,E44/100/(1-'Read me'!$B$12),"")</x:f>
        <x:v>0.023138459556929423</x:v>
      </x:c>
      <x:c r="G44" s="107" t="n">
        <x:f>IF(C44,F44/100,"")</x:f>
        <x:v>0.00023138459556929422</x:v>
      </x:c>
      <x:c r="H44" s="107" t="n">
        <x:f>IF(C44,F44*(1-'Read me'!$B$12)*100-E44,"")</x:f>
        <x:v>0</x:v>
      </x:c>
    </x:row>
    <x:row r="45">
      <x:c r="A45" s="105" t="n">
        <x:v>2022</x:v>
      </x:c>
      <x:c r="B45" s="106" t="n">
        <x:f>AVERAGEIFS('Quarterly source'!$B$8:$B$167,'Quarterly source'!$A$8:$A$167,"&gt;="&amp;DATE(A45,1,1),'Quarterly source'!$A$8:$A$167,"&lt;="&amp;DATE(A45,12,31))</x:f>
        <x:v>0.1625</x:v>
      </x:c>
      <x:c r="C45" s="94" t="b">
        <x:f>AND(A45&gt;='Read me'!$B$6,A45&lt;='Read me'!$C$6)</x:f>
        <x:v>1</x:v>
      </x:c>
      <x:c r="D45" s="106" t="n">
        <x:f>IF(C45,B45/'Read me'!$B$7,"")</x:f>
        <x:v>0.217671303451829</x:v>
      </x:c>
      <x:c r="E45" s="106" t="n">
        <x:f>IF(C45,D45*'Read me'!$B$11,"")</x:f>
        <x:v>0.7712819852309808</x:v>
      </x:c>
      <x:c r="F45" s="106" t="n">
        <x:f>IF(C45,E45/100/(1-'Read me'!$B$12),"")</x:f>
        <x:v>0.01928204963077452</x:v>
      </x:c>
      <x:c r="G45" s="107" t="n">
        <x:f>IF(C45,F45/100,"")</x:f>
        <x:v>0.0001928204963077452</x:v>
      </x:c>
      <x:c r="H45" s="107" t="n">
        <x:f>IF(C45,F45*(1-'Read me'!$B$12)*100-E45,"")</x:f>
        <x:v>0</x:v>
      </x:c>
    </x:row>
    <x:row r="46">
      <x:c r="A46" s="105" t="n">
        <x:v>2023</x:v>
      </x:c>
      <x:c r="B46" s="106" t="n">
        <x:f>AVERAGEIFS('Quarterly source'!$B$8:$B$167,'Quarterly source'!$A$8:$A$167,"&gt;="&amp;DATE(A46,1,1),'Quarterly source'!$A$8:$A$167,"&lt;="&amp;DATE(A46,12,31))</x:f>
        <x:v>0.35000000000000003</x:v>
      </x:c>
      <x:c r="C46" s="94" t="b">
        <x:f>AND(A46&gt;='Read me'!$B$6,A46&lt;='Read me'!$C$6)</x:f>
        <x:v>1</x:v>
      </x:c>
      <x:c r="D46" s="106" t="n">
        <x:f>IF(C46,B46/'Read me'!$B$7,"")</x:f>
        <x:v>0.468830499742401</x:v>
      </x:c>
      <x:c r="E46" s="106" t="n">
        <x:f>IF(C46,D46*'Read me'!$B$11,"")</x:f>
        <x:v>1.6612227374205741</x:v>
      </x:c>
      <x:c r="F46" s="106" t="n">
        <x:f>IF(C46,E46/100/(1-'Read me'!$B$12),"")</x:f>
        <x:v>0.04153056843551436</x:v>
      </x:c>
      <x:c r="G46" s="107" t="n">
        <x:f>IF(C46,F46/100,"")</x:f>
        <x:v>0.00041530568435514355</x:v>
      </x:c>
      <x:c r="H46" s="107" t="n">
        <x:f>IF(C46,F46*(1-'Read me'!$B$12)*100-E46,"")</x:f>
        <x:v>2.220446049250313e-16</x:v>
      </x:c>
    </x:row>
    <x:row r="47">
      <x:c r="A47" s="105" t="n">
        <x:v>2024</x:v>
      </x:c>
      <x:c r="B47" s="106" t="n">
        <x:f>AVERAGEIFS('Quarterly source'!$B$8:$B$167,'Quarterly source'!$A$8:$A$167,"&gt;="&amp;DATE(A47,1,1),'Quarterly source'!$A$8:$A$167,"&lt;="&amp;DATE(A47,12,31))</x:f>
        <x:v>0.4975</x:v>
      </x:c>
      <x:c r="C47" s="94" t="b">
        <x:f>AND(A47&gt;='Read me'!$B$6,A47&lt;='Read me'!$C$6)</x:f>
        <x:v>1</x:v>
      </x:c>
      <x:c r="D47" s="106" t="n">
        <x:f>IF(C47,B47/'Read me'!$B$7,"")</x:f>
        <x:v>0.6664090674909842</x:v>
      </x:c>
      <x:c r="E47" s="106" t="n">
        <x:f>IF(C47,D47*'Read me'!$B$11,"")</x:f>
        <x:v>2.3613094624763873</x:v>
      </x:c>
      <x:c r="F47" s="106" t="n">
        <x:f>IF(C47,E47/100/(1-'Read me'!$B$12),"")</x:f>
        <x:v>0.05903273656190968</x:v>
      </x:c>
      <x:c r="G47" s="107" t="n">
        <x:f>IF(C47,F47/100,"")</x:f>
        <x:v>0.0005903273656190968</x:v>
      </x:c>
      <x:c r="H47" s="107" t="n">
        <x:f>IF(C47,F47*(1-'Read me'!$B$12)*100-E47,"")</x:f>
        <x:v>0</x:v>
      </x:c>
    </x:row>
  </x:sheetData>
  <x:mergeCells>
    <x:mergeCell ref="A1:H1"/>
    <x:mergeCell ref="A3:H3"/>
  </x:mergeCells>
  <x:pageMargins left="0.7" right="0.7" top="0.75" bottom="0.75" header="0.3" footer="0.3"/>
  <x:tableParts count="1">
    <x:tablePart xmlns:r="http://schemas.openxmlformats.org/officeDocument/2006/relationships" r:id="Rff039865a62348b7"/>
  </x:tableParts>
</x:worksheet>
</file>